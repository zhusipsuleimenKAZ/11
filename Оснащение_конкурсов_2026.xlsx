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араметры" sheetId="1" state="visible" r:id="rId3"/>
    <sheet name="Конкурсы" sheetId="2" state="visible" r:id="rId4"/>
    <sheet name="Расходный материал" sheetId="3" state="visible" r:id="rId5"/>
    <sheet name="Закупка итого" sheetId="4" state="visible" r:id="rId6"/>
  </sheets>
  <definedNames>
    <definedName function="false" hidden="true" localSheetId="2" name="_xlnm._FilterDatabase" vbProcedure="false">'Расходный материал'!$A$3:$J$88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3" authorId="0">
      <text>
        <r>
          <rPr>
            <sz val="10"/>
            <rFont val="Arial"/>
            <family val="2"/>
          </rPr>
          <t xml:space="preserve">Предложенное количество (допущение). Измените под число параллельных рабочих мест: если команды работают одновременно, нужно больше волонтёров.</t>
        </r>
      </text>
    </comment>
  </commentList>
</comments>
</file>

<file path=xl/sharedStrings.xml><?xml version="1.0" encoding="utf-8"?>
<sst xmlns="http://schemas.openxmlformats.org/spreadsheetml/2006/main" count="830" uniqueCount="241">
  <si>
    <t xml:space="preserve">Параметры (жёлтые ячейки можно менять — все расчёты пересчитаются)</t>
  </si>
  <si>
    <t xml:space="preserve">Команд в I туре</t>
  </si>
  <si>
    <t xml:space="preserve">Со слов организатора: 20 команд по 3 участника</t>
  </si>
  <si>
    <t xml:space="preserve">Команд во II туре</t>
  </si>
  <si>
    <t xml:space="preserve">Со слов организатора: во II тур проходят 10 команд</t>
  </si>
  <si>
    <t xml:space="preserve">Команд в III туре</t>
  </si>
  <si>
    <t xml:space="preserve">Со слов организатора: в III тур проходят 3 команды</t>
  </si>
  <si>
    <t xml:space="preserve">Запас расходного материала</t>
  </si>
  <si>
    <t xml:space="preserve">Допущение: 10% на брак и ошибки</t>
  </si>
  <si>
    <t xml:space="preserve">Обозначения:</t>
  </si>
  <si>
    <t xml:space="preserve">Синий шрифт на жёлтом фоне — вводимые значения (можно менять)</t>
  </si>
  <si>
    <t xml:space="preserve">Чёрный шрифт — формулы (не трогать)</t>
  </si>
  <si>
    <t xml:space="preserve">Источник конкурсов, ответственных, инструментов и шовного материала: «Программа олимпиады по хирургии 2026»</t>
  </si>
  <si>
    <t xml:space="preserve">Количество там, где регламент его не указывает, — допущение (помечено в столбце «Примечание»)</t>
  </si>
  <si>
    <t xml:space="preserve">Внутривузовская студенческая олимпиада по хирургии им. проф. А.П. Кошеля — конкурсы, ответственные, расходный материал, волонтёры</t>
  </si>
  <si>
    <t xml:space="preserve">№</t>
  </si>
  <si>
    <t xml:space="preserve">Тур</t>
  </si>
  <si>
    <t xml:space="preserve">Конкурс</t>
  </si>
  <si>
    <t xml:space="preserve">Ответственные за конкурс</t>
  </si>
  <si>
    <t xml:space="preserve">Команд</t>
  </si>
  <si>
    <t xml:space="preserve">Время выполнения</t>
  </si>
  <si>
    <t xml:space="preserve">Биоматериал / препарат</t>
  </si>
  <si>
    <t xml:space="preserve">Шовный материал (на 1 команду)</t>
  </si>
  <si>
    <t xml:space="preserve">Прочий расходный материал (на 1 команду)</t>
  </si>
  <si>
    <t xml:space="preserve">Макеты и оснащение</t>
  </si>
  <si>
    <t xml:space="preserve">Инструменты (на 1 рабочее место, многоразовые)</t>
  </si>
  <si>
    <t xml:space="preserve">Количество волонтёров</t>
  </si>
  <si>
    <t xml:space="preserve">Задачи волонтёров</t>
  </si>
  <si>
    <t xml:space="preserve">I тур — 6 ноября 2026</t>
  </si>
  <si>
    <t xml:space="preserve">1 тур</t>
  </si>
  <si>
    <t xml:space="preserve">Абдоминальная хирургия</t>
  </si>
  <si>
    <t xml:space="preserve">Сулеймен Жусип
Барашкова Анастасия</t>
  </si>
  <si>
    <t xml:space="preserve">60 мин (стоп-время 80 мин)</t>
  </si>
  <si>
    <t xml:space="preserve">• Органокомплекс свиной (желудок + тонкая кишка 20 см) — 1 шт</t>
  </si>
  <si>
    <t xml:space="preserve">• ПГА/викрил USP 4/0, атравм. колющая игла — 2 шт
• ПГА/викрил USP 3/0, атравм. колющая игла — 2 шт
• ПГА/викрил USP 2/0, атравм. колющая игла — 1 шт</t>
  </si>
  <si>
    <t xml:space="preserve">• Лезвие для скальпеля №23/24 — 1 шт
• Перчатки смотровые нестерильные — 3 пара</t>
  </si>
  <si>
    <t xml:space="preserve">• Пенополистирол (основа для фиксации препарата) — 1 шт
• Бокс глубиной 10–15 см — 1 шт</t>
  </si>
  <si>
    <t xml:space="preserve">Иглодержатель — 1
пинцет анатомический — 2
ножницы Купера/Метценбаума — 1
кишечный жом эластичный — 4
ручка для скальпеля — 1
зажим «москит»/Бильрот — 2</t>
  </si>
  <si>
    <t xml:space="preserve">Раздача препаратов, хронометраж по каждой команде, уборка столов</t>
  </si>
  <si>
    <t xml:space="preserve">Сосудистый шов</t>
  </si>
  <si>
    <t xml:space="preserve">Попов Никита
Вавилов Данила</t>
  </si>
  <si>
    <t xml:space="preserve">80 мин (стоп-время 100 мин)</t>
  </si>
  <si>
    <t xml:space="preserve">• Аорта свиная — 1 шт
• Кондуит из большой подкожной вены — 1 шт</t>
  </si>
  <si>
    <t xml:space="preserve">• Prolene/монофил USP 4/0, две атравм. иглы — 2 шт
• Prolene/монофил USP 6/0, две атравм. иглы — 1 шт</t>
  </si>
  <si>
    <t xml:space="preserve">• Протез кровеносного сосуда INTERGARD 18 мм — 1 шт
• Лезвие для скальпеля остроконечное №11 — 1 шт
• Перчатки смотровые нестерильные — 3 пара</t>
  </si>
  <si>
    <t xml:space="preserve">• Муляж сердца — 1 шт
• Контейнер — имитация грудной полости — 1 шт</t>
  </si>
  <si>
    <t xml:space="preserve">Зажим Сатинского — 1
зажим «бульдог» — 1
пинцет сосудистый — 2
иглодержатель сосудистый — 1
ножницы сосудистые — 1
скальпель остроконечный — 1
зажим Холстеда «москит» с сегментами микроирригатора</t>
  </si>
  <si>
    <t xml:space="preserve">Подготовка контейнеров и муляжей сердца, хронометраж, уборка</t>
  </si>
  <si>
    <t xml:space="preserve">Торакальная хирургия</t>
  </si>
  <si>
    <t xml:space="preserve">Ахмедова Малика</t>
  </si>
  <si>
    <t xml:space="preserve">60 мин (стоп-время 75 мин)</t>
  </si>
  <si>
    <t xml:space="preserve">• Трахея (свиная) — 1 шт</t>
  </si>
  <si>
    <t xml:space="preserve">• Викрил/PDS USP 2/0–3/0, атравм. игла — 3 шт</t>
  </si>
  <si>
    <t xml:space="preserve">• Лезвие для скальпеля — 1 шт
• Перчатки смотровые нестерильные — 3 пара</t>
  </si>
  <si>
    <t xml:space="preserve">• Макет: пластиковая бутылка с окном 5–7 см, выстланная поролоном — 1 шт
• Подставка из пеноплекса — 1 шт</t>
  </si>
  <si>
    <t xml:space="preserve">Скальпель — 1
иглодержатель — 1
пинцет анатомический — 2
зажим Бильрот — 2
зажим «москит» — 4</t>
  </si>
  <si>
    <t xml:space="preserve">Установка макетов, разметка участка стеноза, хронометраж</t>
  </si>
  <si>
    <t xml:space="preserve">Наложение сухожильного шва</t>
  </si>
  <si>
    <t xml:space="preserve">Гунзынов Дамдин
Бегадилла Бекарыс</t>
  </si>
  <si>
    <t xml:space="preserve">50 мин</t>
  </si>
  <si>
    <t xml:space="preserve">• Сухожилие бычье — 1 шт</t>
  </si>
  <si>
    <t xml:space="preserve">• Лавсан/капрон/этибонд USP 1 — 2 шт
• Монофил USP 4/0 — 1 шт</t>
  </si>
  <si>
    <t xml:space="preserve">• Игла травматическая — 1 шт
• Лезвие для скальпеля брюшистое — 1 шт
• Перчатки смотровые нестерильные — 3 пара</t>
  </si>
  <si>
    <t xml:space="preserve">—</t>
  </si>
  <si>
    <t xml:space="preserve">Зажим «москит» — 2
скальпель брюшистый — 1
иглодержатель — 1
пинцет анатомический — 1
пинцет хирургический — 1</t>
  </si>
  <si>
    <t xml:space="preserve">Раздача сухожилий, хронометраж, уборка</t>
  </si>
  <si>
    <t xml:space="preserve">Реконструктивно-пластическая хирургия. Первый этап</t>
  </si>
  <si>
    <t xml:space="preserve">Грибанова Белла
Имтоссими Георгий</t>
  </si>
  <si>
    <t xml:space="preserve">30 мин</t>
  </si>
  <si>
    <t xml:space="preserve">• Курица (кожный лоскут спинки тушки) — 1 шт</t>
  </si>
  <si>
    <t xml:space="preserve">• Prolene/монофил USP 4/0, атравм. колющая игла — 1 шт
• Prolene/монофил USP 5/0, атравм. колющая игла — 1 шт</t>
  </si>
  <si>
    <t xml:space="preserve">• Лезвие для скальпеля — 1 шт
• Маркер хирургический — 1 шт
• Сантиметровая лента — 1 шт
• Перчатки смотровые нестерильные — 3 пара</t>
  </si>
  <si>
    <t xml:space="preserve">Иглодержатель — 1
пинцет анатомический — 4
ножницы — 1
скальпель — 1</t>
  </si>
  <si>
    <t xml:space="preserve">Жеребьёвка лоскутов, хронометраж, помощь жюри с замерами соска</t>
  </si>
  <si>
    <t xml:space="preserve">Вязание хирургических узлов</t>
  </si>
  <si>
    <t xml:space="preserve">Бабина Кристина</t>
  </si>
  <si>
    <t xml:space="preserve">30 сек на участника</t>
  </si>
  <si>
    <t xml:space="preserve">• Капрон USP 1, нить 60 см — 3 шт</t>
  </si>
  <si>
    <t xml:space="preserve">• Перчатки смотровые нестерильные — 3 пара
• Зубочистки (проверка плотности узла) — 3 шт</t>
  </si>
  <si>
    <t xml:space="preserve">Не требуются</t>
  </si>
  <si>
    <t xml:space="preserve">«Палец» для завязывания (держит нить), хронометраж 30 сек, проверка плотности зубочисткой, замер «косички»</t>
  </si>
  <si>
    <t xml:space="preserve">II тур — 7 ноября 2026</t>
  </si>
  <si>
    <t xml:space="preserve">2 тур</t>
  </si>
  <si>
    <t xml:space="preserve">Травматология</t>
  </si>
  <si>
    <t xml:space="preserve">Ибрагимов Фазли
Гунзынов Дамдин</t>
  </si>
  <si>
    <t xml:space="preserve">15 мин + 5 мин на рентгенограммы</t>
  </si>
  <si>
    <t xml:space="preserve">• Гипсовый бинт 15 см — 2 шт
• Бинт марлевый нестерильный — 2 шт
• Салфетки марлевые — 1 уп
• Ватные прокладки — 1 уп
• Шприц — 1 шт
• Перчатки смотровые нестерильные — 3 пара</t>
  </si>
  <si>
    <t xml:space="preserve">Ножницы
ёмкость для воды</t>
  </si>
  <si>
    <t xml:space="preserve">Подготовка воды и гипса, хронометраж, уборка гипса</t>
  </si>
  <si>
    <t xml:space="preserve">Оперативная урология</t>
  </si>
  <si>
    <t xml:space="preserve">Бакушина Софья
Абаимов Иван</t>
  </si>
  <si>
    <t xml:space="preserve">60 мин (+ бонус за время)</t>
  </si>
  <si>
    <t xml:space="preserve">• Мочевой пузырь с уретрой и мочеточником — 1 шт
• Куриное бедро (имитация m. psoas) — 1 шт</t>
  </si>
  <si>
    <t xml:space="preserve">• ПГА USP 5/0, одна атравм. колющая игла — 1 шт
• ПГА USP 4/0, одна атравм. колющая игла — 2 шт
• ПГА USP 3/0, одна атравм. колющая игла — 2 шт
• Prolene/монофил USP 4/0, атравм. колющая игла — 1 шт</t>
  </si>
  <si>
    <t xml:space="preserve">• Мочеточниковый катетер — 1 шт
• Лезвие для скальпеля — 1 шт
• Перчатки смотровые нестерильные — 3 пара</t>
  </si>
  <si>
    <t xml:space="preserve">Скальпель — 1
иглодержатель общехирургический — 1
пинцет анатомический — 2
ножницы — 1
зажим Холстеда «москит» прямой — 1</t>
  </si>
  <si>
    <t xml:space="preserve">Хронометраж и фиксация места по времени (для бонуса), проверка герметичности</t>
  </si>
  <si>
    <t xml:space="preserve">Реконструктивно-пластическая хирургия. Второй этап</t>
  </si>
  <si>
    <t xml:space="preserve">80 мин</t>
  </si>
  <si>
    <t xml:space="preserve">• Куриная грудка с хрящевой частью грудины — 1 шт</t>
  </si>
  <si>
    <t xml:space="preserve">• Марля (накрыть препарат) — 1 м
• Лезвие для скальпеля — 1 шт
• Маркер хирургический — 1 шт
• Сантиметровая лента — 1 шт
• Перчатки смотровые нестерильные — 3 пара</t>
  </si>
  <si>
    <t xml:space="preserve">Раздача препаратов под влажной марлей, хронометраж, уборка</t>
  </si>
  <si>
    <t xml:space="preserve">Оперативная гинекология</t>
  </si>
  <si>
    <t xml:space="preserve">Устюжанина Ольга
Корнеева Алина</t>
  </si>
  <si>
    <t xml:space="preserve">45 мин (после 50 мин — 0 за время)</t>
  </si>
  <si>
    <t xml:space="preserve">• Кишка свиная толстая/прямая, отрезок 10–15 см — 2 шт
• Курица (тушка для фиксации комплекса) — 1 шт</t>
  </si>
  <si>
    <t xml:space="preserve">• Vicryl/ПГА USP 3/0 — 2 шт
• Vicryl/ПГА USP 2/0 — 1 шт</t>
  </si>
  <si>
    <t xml:space="preserve">• Лезвие для скальпеля №10 — 1 шт
• Перчатки смотровые нестерильные — 3 пара</t>
  </si>
  <si>
    <t xml:space="preserve">Зеркало Куско — 1
крючки Фарабефа — 2
пуговчатый зонд — 1
скальпель №10 — 1
ножницы Купера — 1
пинцет анатомический — 2
зажим «москит» — 1
иглодержатель Гегара — 1</t>
  </si>
  <si>
    <t xml:space="preserve">Подготовка комплексов в тушках, хронометраж, уборка</t>
  </si>
  <si>
    <t xml:space="preserve">III тур — 8 ноября 2026</t>
  </si>
  <si>
    <t xml:space="preserve">3 тур</t>
  </si>
  <si>
    <t xml:space="preserve">Сегментарная резекция толстой кишки с анастомозом конец в конец на экспериментальном животном</t>
  </si>
  <si>
    <t xml:space="preserve">90 мин</t>
  </si>
  <si>
    <t xml:space="preserve">• Кролик (экспериментальное животное) — 1 шт</t>
  </si>
  <si>
    <t xml:space="preserve">• ПГА USP 3/0–4/0, атравм. игла, 45 см — 5 шт
• Лавсан USP 2/0–0, атравм. игла, 45 см — 5 шт</t>
  </si>
  <si>
    <t xml:space="preserve">• Новокаин (блокада брыжейки) — 2 амп
• Хлоргексидин / антисептик — 1 фл
• Шприц — 2 шт
• Халат операционный стерильный — 3 шт
• Перчатки хирургические стерильные — 3 пара
• Перчатки смотровые нестерильные — 4 пара
• Шапочка медицинская — 4 шт
• Маска медицинская — 4 шт
• Простыня стерильная клеящаяся — 1 шт
• Операционное бельё (простыни для стола) — 1 компл
• Бинт марлевый (вязки для фиксации) — 4 шт
• Мешок для отходов класса Б — 1 шт
• Лезвие для скальпеля — 1 шт</t>
  </si>
  <si>
    <t xml:space="preserve">• Планка ДСП с отверстиями — 1 шт</t>
  </si>
  <si>
    <t xml:space="preserve">Бельевые цапки — 4
корнцанг — 1
иглодержатель — 1
пинцеты анатомический и хирургический — 2
ножницы Купера/Метценбаума — 2
кишечный жом Кохера — 2
Г-образный зажим — 1
скальпель — 1
зажим Бильрота — 2
зажим Кохера — 2
зажим «москит» — 2
крючки Фарабефа — 1
зажим Микулича — 4
машинка для стрижки</t>
  </si>
  <si>
    <t xml:space="preserve">По регламенту 1 санитар на бригаду от организаторов (3) + 2 на хронометраж и утилизацию отходов</t>
  </si>
  <si>
    <t xml:space="preserve">Итого волонтёров на все конкурсы:</t>
  </si>
  <si>
    <t xml:space="preserve">в т.ч. в 1 тур (6 ноября 2026):</t>
  </si>
  <si>
    <t xml:space="preserve">в т.ч. в 2 тур (7 ноября 2026):</t>
  </si>
  <si>
    <t xml:space="preserve">в т.ч. в 3 тур (8 ноября 2026):</t>
  </si>
  <si>
    <t xml:space="preserve">Количество волонтёров — предложение, не из регламента: поменяйте жёлтые ячейки, итог пересчитается. Количество на закупку — на листе «Расходный материал».</t>
  </si>
  <si>
    <t xml:space="preserve">Расходный материал по конкурсам: на 1 команду × число команд в туре + запас</t>
  </si>
  <si>
    <t xml:space="preserve">Наименование</t>
  </si>
  <si>
    <t xml:space="preserve">Категория</t>
  </si>
  <si>
    <t xml:space="preserve">Ед.</t>
  </si>
  <si>
    <t xml:space="preserve">На 1 команду</t>
  </si>
  <si>
    <t xml:space="preserve">Итого с запасом</t>
  </si>
  <si>
    <t xml:space="preserve">Примечание</t>
  </si>
  <si>
    <t xml:space="preserve">Органокомплекс свиной (желудок + тонкая кишка 20 см)</t>
  </si>
  <si>
    <t xml:space="preserve">Биоматериал</t>
  </si>
  <si>
    <t xml:space="preserve">шт</t>
  </si>
  <si>
    <t xml:space="preserve">Пенополистирол (основа для фиксации препарата)</t>
  </si>
  <si>
    <t xml:space="preserve">Макет/оснащение</t>
  </si>
  <si>
    <t xml:space="preserve">Бокс глубиной 10–15 см</t>
  </si>
  <si>
    <t xml:space="preserve">многоразовый</t>
  </si>
  <si>
    <t xml:space="preserve">ПГА/викрил USP 4/0, атравм. колющая игла</t>
  </si>
  <si>
    <t xml:space="preserve">Шовный материал</t>
  </si>
  <si>
    <t xml:space="preserve">допущение: в регламенте количество не указано</t>
  </si>
  <si>
    <t xml:space="preserve">ПГА/викрил USP 3/0, атравм. колющая игла</t>
  </si>
  <si>
    <t xml:space="preserve">ПГА/викрил USP 2/0, атравм. колющая игла</t>
  </si>
  <si>
    <t xml:space="preserve">Лезвие для скальпеля №23/24</t>
  </si>
  <si>
    <t xml:space="preserve">Расходник</t>
  </si>
  <si>
    <t xml:space="preserve">Перчатки смотровые нестерильные</t>
  </si>
  <si>
    <t xml:space="preserve">пара</t>
  </si>
  <si>
    <t xml:space="preserve">по 1 паре на участника</t>
  </si>
  <si>
    <t xml:space="preserve">Аорта свиная</t>
  </si>
  <si>
    <t xml:space="preserve">Кондуит из большой подкожной вены</t>
  </si>
  <si>
    <t xml:space="preserve">Протез кровеносного сосуда INTERGARD 18 мм</t>
  </si>
  <si>
    <t xml:space="preserve">Муляж сердца</t>
  </si>
  <si>
    <t xml:space="preserve">Контейнер — имитация грудной полости</t>
  </si>
  <si>
    <t xml:space="preserve">Prolene/монофил USP 4/0, две атравм. иглы</t>
  </si>
  <si>
    <t xml:space="preserve">Prolene/монофил USP 6/0, две атравм. иглы</t>
  </si>
  <si>
    <t xml:space="preserve">Лезвие для скальпеля остроконечное №11</t>
  </si>
  <si>
    <t xml:space="preserve">Трахея (свиная)</t>
  </si>
  <si>
    <t xml:space="preserve">Макет: пластиковая бутылка с окном 5–7 см, выстланная поролоном</t>
  </si>
  <si>
    <t xml:space="preserve">Подставка из пеноплекса</t>
  </si>
  <si>
    <t xml:space="preserve">Викрил/PDS USP 2/0–3/0, атравм. игла</t>
  </si>
  <si>
    <t xml:space="preserve">Лезвие для скальпеля</t>
  </si>
  <si>
    <t xml:space="preserve">Сухожилие бычье</t>
  </si>
  <si>
    <t xml:space="preserve">Лавсан/капрон/этибонд USP 1</t>
  </si>
  <si>
    <t xml:space="preserve">Монофил USP 4/0</t>
  </si>
  <si>
    <t xml:space="preserve">Игла травматическая</t>
  </si>
  <si>
    <t xml:space="preserve">Лезвие для скальпеля брюшистое</t>
  </si>
  <si>
    <t xml:space="preserve">Курица (кожный лоскут спинки тушки)</t>
  </si>
  <si>
    <t xml:space="preserve">Prolene/монофил USP 4/0, атравм. колющая игла</t>
  </si>
  <si>
    <t xml:space="preserve">Prolene/монофил USP 5/0, атравм. колющая игла</t>
  </si>
  <si>
    <t xml:space="preserve">Маркер хирургический</t>
  </si>
  <si>
    <t xml:space="preserve">Сантиметровая лента</t>
  </si>
  <si>
    <t xml:space="preserve">Капрон USP 1, нить 60 см</t>
  </si>
  <si>
    <t xml:space="preserve">по 1 нити на участника</t>
  </si>
  <si>
    <t xml:space="preserve">Зубочистки (проверка плотности узла)</t>
  </si>
  <si>
    <t xml:space="preserve">Гипсовый бинт 15 см</t>
  </si>
  <si>
    <t xml:space="preserve">Бинт марлевый нестерильный</t>
  </si>
  <si>
    <t xml:space="preserve">Салфетки марлевые</t>
  </si>
  <si>
    <t xml:space="preserve">уп</t>
  </si>
  <si>
    <t xml:space="preserve">Ватные прокладки</t>
  </si>
  <si>
    <t xml:space="preserve">Шприц</t>
  </si>
  <si>
    <t xml:space="preserve">Мочевой пузырь с уретрой и мочеточником</t>
  </si>
  <si>
    <t xml:space="preserve">Куриное бедро (имитация m. psoas)</t>
  </si>
  <si>
    <t xml:space="preserve">ПГА USP 5/0, одна атравм. колющая игла</t>
  </si>
  <si>
    <t xml:space="preserve">ПГА USP 4/0, одна атравм. колющая игла</t>
  </si>
  <si>
    <t xml:space="preserve">ПГА USP 3/0, одна атравм. колющая игла</t>
  </si>
  <si>
    <t xml:space="preserve">Мочеточниковый катетер</t>
  </si>
  <si>
    <t xml:space="preserve">нужен по ходу операции</t>
  </si>
  <si>
    <t xml:space="preserve">Куриная грудка с хрящевой частью грудины</t>
  </si>
  <si>
    <t xml:space="preserve">Марля (накрыть препарат)</t>
  </si>
  <si>
    <t xml:space="preserve">м</t>
  </si>
  <si>
    <t xml:space="preserve">Кишка свиная толстая/прямая, отрезок 10–15 см</t>
  </si>
  <si>
    <t xml:space="preserve">широкий — «влагалище», узкий — «прямая кишка»</t>
  </si>
  <si>
    <t xml:space="preserve">Курица (тушка для фиксации комплекса)</t>
  </si>
  <si>
    <t xml:space="preserve">Vicryl/ПГА USP 3/0</t>
  </si>
  <si>
    <t xml:space="preserve">Vicryl/ПГА USP 2/0</t>
  </si>
  <si>
    <t xml:space="preserve">Лезвие для скальпеля №10</t>
  </si>
  <si>
    <t xml:space="preserve">Кролик (экспериментальное животное)</t>
  </si>
  <si>
    <t xml:space="preserve">согласовать с вивариумом и этическим комитетом</t>
  </si>
  <si>
    <t xml:space="preserve">ПГА USP 3/0–4/0, атравм. игла, 45 см</t>
  </si>
  <si>
    <t xml:space="preserve">Лавсан USP 2/0–0, атравм. игла, 45 см</t>
  </si>
  <si>
    <t xml:space="preserve">Новокаин (блокада брыжейки)</t>
  </si>
  <si>
    <t xml:space="preserve">амп</t>
  </si>
  <si>
    <t xml:space="preserve">Хлоргексидин / антисептик</t>
  </si>
  <si>
    <t xml:space="preserve">фл</t>
  </si>
  <si>
    <t xml:space="preserve">Халат операционный стерильный</t>
  </si>
  <si>
    <t xml:space="preserve">Перчатки хирургические стерильные</t>
  </si>
  <si>
    <t xml:space="preserve">для подготовки животного</t>
  </si>
  <si>
    <t xml:space="preserve">Шапочка медицинская</t>
  </si>
  <si>
    <t xml:space="preserve">включая санитара</t>
  </si>
  <si>
    <t xml:space="preserve">Маска медицинская</t>
  </si>
  <si>
    <t xml:space="preserve">Простыня стерильная клеящаяся</t>
  </si>
  <si>
    <t xml:space="preserve">Операционное бельё (простыни для стола)</t>
  </si>
  <si>
    <t xml:space="preserve">компл</t>
  </si>
  <si>
    <t xml:space="preserve">Бинт марлевый (вязки для фиксации)</t>
  </si>
  <si>
    <t xml:space="preserve">по 1 на конечность</t>
  </si>
  <si>
    <t xml:space="preserve">Планка ДСП с отверстиями</t>
  </si>
  <si>
    <t xml:space="preserve">многоразовая</t>
  </si>
  <si>
    <t xml:space="preserve">Мешок для отходов класса Б</t>
  </si>
  <si>
    <t xml:space="preserve">Общий расход на площадку (на все 3 дня, не зависит от числа команд)</t>
  </si>
  <si>
    <t xml:space="preserve">Все конкурсы</t>
  </si>
  <si>
    <t xml:space="preserve">Контейнер для острых отходов (иглы, лезвия)</t>
  </si>
  <si>
    <t xml:space="preserve">Общее</t>
  </si>
  <si>
    <t xml:space="preserve">по 2 на каждый день; допущение</t>
  </si>
  <si>
    <t xml:space="preserve">Мешки для отходов класса Б</t>
  </si>
  <si>
    <t xml:space="preserve">допущение</t>
  </si>
  <si>
    <t xml:space="preserve">Пелёнки одноразовые (застелить столы)</t>
  </si>
  <si>
    <t xml:space="preserve">Салфетки бумажные / ветошь</t>
  </si>
  <si>
    <t xml:space="preserve">Дезинфицирующее средство для поверхностей</t>
  </si>
  <si>
    <t xml:space="preserve">л</t>
  </si>
  <si>
    <t xml:space="preserve">Антисептик для рук</t>
  </si>
  <si>
    <t xml:space="preserve">Перчатки смотровые для волонтёров и жюри</t>
  </si>
  <si>
    <t xml:space="preserve">Аптечка (пластырь, перекись, бинты) на случай порезов</t>
  </si>
  <si>
    <t xml:space="preserve">Секундомеры</t>
  </si>
  <si>
    <t xml:space="preserve">по 1 на конкурс одного дня; многоразовые</t>
  </si>
  <si>
    <t xml:space="preserve">Сводный список закупки: одинаковые позиции из всех конкурсов сложены</t>
  </si>
  <si>
    <t xml:space="preserve">Итого к закупке</t>
  </si>
  <si>
    <t xml:space="preserve">Цена за ед.</t>
  </si>
  <si>
    <t xml:space="preserve">Сумма</t>
  </si>
  <si>
    <t xml:space="preserve">Итого:</t>
  </si>
  <si>
    <t xml:space="preserve">Впишите цены в жёлтый столбец — суммы посчитаются автоматически. Цены указывайте в одной валюте за единицу из столбца «Ед.».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</si>
</sst>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General"/>
    <numFmt numFmtId="167" formatCode="#,##0.00;\-#,##0.00;\-"/>
    <numFmt numFmtId="168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20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v>10</v>
      </c>
      <c r="C4" s="4" t="s">
        <v>4</v>
      </c>
    </row>
    <row r="5" customFormat="false" ht="15" hidden="false" customHeight="false" outlineLevel="0" collapsed="false">
      <c r="A5" s="2" t="s">
        <v>5</v>
      </c>
      <c r="B5" s="3" t="n">
        <v>3</v>
      </c>
      <c r="C5" s="4" t="s">
        <v>6</v>
      </c>
    </row>
    <row r="6" customFormat="false" ht="15" hidden="false" customHeight="false" outlineLevel="0" collapsed="false">
      <c r="A6" s="2" t="s">
        <v>7</v>
      </c>
      <c r="B6" s="5" t="n">
        <v>0.1</v>
      </c>
      <c r="C6" s="4" t="s">
        <v>8</v>
      </c>
    </row>
    <row r="9" customFormat="false" ht="15" hidden="false" customHeight="false" outlineLevel="0" collapsed="false">
      <c r="A9" s="6" t="s">
        <v>9</v>
      </c>
    </row>
    <row r="10" customFormat="false" ht="15" hidden="false" customHeight="false" outlineLevel="0" collapsed="false">
      <c r="A10" s="3" t="s">
        <v>10</v>
      </c>
    </row>
    <row r="11" customFormat="false" ht="15" hidden="false" customHeight="false" outlineLevel="0" collapsed="false">
      <c r="A11" s="2" t="s">
        <v>11</v>
      </c>
    </row>
    <row r="12" customFormat="false" ht="15" hidden="false" customHeight="false" outlineLevel="0" collapsed="false">
      <c r="A12" s="7" t="s">
        <v>12</v>
      </c>
    </row>
    <row r="13" customFormat="false" ht="15" hidden="false" customHeight="false" outlineLevel="0" collapsed="false">
      <c r="A13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9" min="8" style="0" width="38"/>
    <col collapsed="false" customWidth="true" hidden="false" outlineLevel="0" max="10" min="10" style="0" width="28"/>
    <col collapsed="false" customWidth="true" hidden="false" outlineLevel="0" max="11" min="11" style="0" width="44"/>
    <col collapsed="false" customWidth="true" hidden="false" outlineLevel="0" max="12" min="12" style="0" width="13"/>
    <col collapsed="false" customWidth="true" hidden="false" outlineLevel="0" max="13" min="13" style="0" width="36"/>
  </cols>
  <sheetData>
    <row r="1" customFormat="false" ht="15" hidden="false" customHeight="false" outlineLevel="0" collapsed="false">
      <c r="A1" s="1" t="s">
        <v>14</v>
      </c>
    </row>
    <row r="3" customFormat="false" ht="23.85" hidden="false" customHeight="false" outlineLevel="0" collapsed="false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</row>
    <row r="4" customFormat="false" ht="15" hidden="false" customHeight="false" outlineLevel="0" collapsed="false">
      <c r="A4" s="9" t="s">
        <v>28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68.65" hidden="false" customHeight="false" outlineLevel="0" collapsed="false">
      <c r="A5" s="10" t="n">
        <v>1</v>
      </c>
      <c r="B5" s="10" t="s">
        <v>29</v>
      </c>
      <c r="C5" s="11" t="s">
        <v>30</v>
      </c>
      <c r="D5" s="11" t="s">
        <v>31</v>
      </c>
      <c r="E5" s="10" t="n">
        <f aca="false">Параметры!$B$3</f>
        <v>20</v>
      </c>
      <c r="F5" s="11" t="s">
        <v>32</v>
      </c>
      <c r="G5" s="11" t="s">
        <v>33</v>
      </c>
      <c r="H5" s="11" t="s">
        <v>34</v>
      </c>
      <c r="I5" s="11" t="s">
        <v>35</v>
      </c>
      <c r="J5" s="11" t="s">
        <v>36</v>
      </c>
      <c r="K5" s="11" t="s">
        <v>37</v>
      </c>
      <c r="L5" s="12" t="n">
        <v>4</v>
      </c>
      <c r="M5" s="11" t="s">
        <v>38</v>
      </c>
    </row>
    <row r="6" customFormat="false" ht="91" hidden="false" customHeight="false" outlineLevel="0" collapsed="false">
      <c r="A6" s="10" t="n">
        <v>2</v>
      </c>
      <c r="B6" s="10" t="s">
        <v>29</v>
      </c>
      <c r="C6" s="11" t="s">
        <v>39</v>
      </c>
      <c r="D6" s="11" t="s">
        <v>40</v>
      </c>
      <c r="E6" s="10" t="n">
        <f aca="false">Параметры!$B$3</f>
        <v>20</v>
      </c>
      <c r="F6" s="11" t="s">
        <v>41</v>
      </c>
      <c r="G6" s="11" t="s">
        <v>42</v>
      </c>
      <c r="H6" s="11" t="s">
        <v>43</v>
      </c>
      <c r="I6" s="11" t="s">
        <v>44</v>
      </c>
      <c r="J6" s="11" t="s">
        <v>45</v>
      </c>
      <c r="K6" s="11" t="s">
        <v>46</v>
      </c>
      <c r="L6" s="12" t="n">
        <v>4</v>
      </c>
      <c r="M6" s="11" t="s">
        <v>47</v>
      </c>
    </row>
    <row r="7" customFormat="false" ht="57.45" hidden="false" customHeight="false" outlineLevel="0" collapsed="false">
      <c r="A7" s="10" t="n">
        <v>3</v>
      </c>
      <c r="B7" s="10" t="s">
        <v>29</v>
      </c>
      <c r="C7" s="11" t="s">
        <v>48</v>
      </c>
      <c r="D7" s="11" t="s">
        <v>49</v>
      </c>
      <c r="E7" s="10" t="n">
        <f aca="false">Параметры!$B$3</f>
        <v>20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  <c r="K7" s="11" t="s">
        <v>55</v>
      </c>
      <c r="L7" s="12" t="n">
        <v>3</v>
      </c>
      <c r="M7" s="11" t="s">
        <v>56</v>
      </c>
    </row>
    <row r="8" customFormat="false" ht="57.45" hidden="false" customHeight="false" outlineLevel="0" collapsed="false">
      <c r="A8" s="10" t="n">
        <v>4</v>
      </c>
      <c r="B8" s="10" t="s">
        <v>29</v>
      </c>
      <c r="C8" s="11" t="s">
        <v>57</v>
      </c>
      <c r="D8" s="11" t="s">
        <v>58</v>
      </c>
      <c r="E8" s="10" t="n">
        <f aca="false">Параметры!$B$3</f>
        <v>20</v>
      </c>
      <c r="F8" s="11" t="s">
        <v>59</v>
      </c>
      <c r="G8" s="11" t="s">
        <v>60</v>
      </c>
      <c r="H8" s="11" t="s">
        <v>61</v>
      </c>
      <c r="I8" s="11" t="s">
        <v>62</v>
      </c>
      <c r="J8" s="11" t="s">
        <v>63</v>
      </c>
      <c r="K8" s="11" t="s">
        <v>64</v>
      </c>
      <c r="L8" s="12" t="n">
        <v>3</v>
      </c>
      <c r="M8" s="11" t="s">
        <v>65</v>
      </c>
    </row>
    <row r="9" customFormat="false" ht="57.45" hidden="false" customHeight="false" outlineLevel="0" collapsed="false">
      <c r="A9" s="10" t="n">
        <v>5</v>
      </c>
      <c r="B9" s="10" t="s">
        <v>29</v>
      </c>
      <c r="C9" s="11" t="s">
        <v>66</v>
      </c>
      <c r="D9" s="11" t="s">
        <v>67</v>
      </c>
      <c r="E9" s="10" t="n">
        <f aca="false">Параметры!$B$3</f>
        <v>20</v>
      </c>
      <c r="F9" s="11" t="s">
        <v>68</v>
      </c>
      <c r="G9" s="11" t="s">
        <v>69</v>
      </c>
      <c r="H9" s="11" t="s">
        <v>70</v>
      </c>
      <c r="I9" s="11" t="s">
        <v>71</v>
      </c>
      <c r="J9" s="11" t="s">
        <v>63</v>
      </c>
      <c r="K9" s="11" t="s">
        <v>72</v>
      </c>
      <c r="L9" s="12" t="n">
        <v>3</v>
      </c>
      <c r="M9" s="11" t="s">
        <v>73</v>
      </c>
    </row>
    <row r="10" customFormat="false" ht="46.25" hidden="false" customHeight="false" outlineLevel="0" collapsed="false">
      <c r="A10" s="10" t="n">
        <v>6</v>
      </c>
      <c r="B10" s="10" t="s">
        <v>29</v>
      </c>
      <c r="C10" s="11" t="s">
        <v>74</v>
      </c>
      <c r="D10" s="11" t="s">
        <v>75</v>
      </c>
      <c r="E10" s="10" t="n">
        <f aca="false">Параметры!$B$3</f>
        <v>20</v>
      </c>
      <c r="F10" s="11" t="s">
        <v>76</v>
      </c>
      <c r="G10" s="11" t="s">
        <v>63</v>
      </c>
      <c r="H10" s="11" t="s">
        <v>77</v>
      </c>
      <c r="I10" s="11" t="s">
        <v>78</v>
      </c>
      <c r="J10" s="11" t="s">
        <v>63</v>
      </c>
      <c r="K10" s="11" t="s">
        <v>79</v>
      </c>
      <c r="L10" s="12" t="n">
        <v>4</v>
      </c>
      <c r="M10" s="11" t="s">
        <v>80</v>
      </c>
    </row>
    <row r="11" customFormat="false" ht="15" hidden="false" customHeight="false" outlineLevel="0" collapsed="false">
      <c r="A11" s="9" t="s">
        <v>81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79.85" hidden="false" customHeight="false" outlineLevel="0" collapsed="false">
      <c r="A12" s="10" t="n">
        <v>7</v>
      </c>
      <c r="B12" s="10" t="s">
        <v>82</v>
      </c>
      <c r="C12" s="11" t="s">
        <v>83</v>
      </c>
      <c r="D12" s="11" t="s">
        <v>84</v>
      </c>
      <c r="E12" s="10" t="n">
        <f aca="false">Параметры!$B$4</f>
        <v>10</v>
      </c>
      <c r="F12" s="11" t="s">
        <v>85</v>
      </c>
      <c r="G12" s="11" t="s">
        <v>63</v>
      </c>
      <c r="H12" s="11" t="s">
        <v>63</v>
      </c>
      <c r="I12" s="11" t="s">
        <v>86</v>
      </c>
      <c r="J12" s="11" t="s">
        <v>63</v>
      </c>
      <c r="K12" s="11" t="s">
        <v>87</v>
      </c>
      <c r="L12" s="12" t="n">
        <v>3</v>
      </c>
      <c r="M12" s="11" t="s">
        <v>88</v>
      </c>
    </row>
    <row r="13" customFormat="false" ht="91" hidden="false" customHeight="false" outlineLevel="0" collapsed="false">
      <c r="A13" s="10" t="n">
        <v>8</v>
      </c>
      <c r="B13" s="10" t="s">
        <v>82</v>
      </c>
      <c r="C13" s="11" t="s">
        <v>89</v>
      </c>
      <c r="D13" s="11" t="s">
        <v>90</v>
      </c>
      <c r="E13" s="10" t="n">
        <f aca="false">Параметры!$B$4</f>
        <v>10</v>
      </c>
      <c r="F13" s="11" t="s">
        <v>91</v>
      </c>
      <c r="G13" s="11" t="s">
        <v>92</v>
      </c>
      <c r="H13" s="11" t="s">
        <v>93</v>
      </c>
      <c r="I13" s="11" t="s">
        <v>94</v>
      </c>
      <c r="J13" s="11" t="s">
        <v>63</v>
      </c>
      <c r="K13" s="11" t="s">
        <v>95</v>
      </c>
      <c r="L13" s="12" t="n">
        <v>3</v>
      </c>
      <c r="M13" s="11" t="s">
        <v>96</v>
      </c>
    </row>
    <row r="14" customFormat="false" ht="68.65" hidden="false" customHeight="false" outlineLevel="0" collapsed="false">
      <c r="A14" s="10" t="n">
        <v>9</v>
      </c>
      <c r="B14" s="10" t="s">
        <v>82</v>
      </c>
      <c r="C14" s="11" t="s">
        <v>97</v>
      </c>
      <c r="D14" s="11" t="s">
        <v>67</v>
      </c>
      <c r="E14" s="10" t="n">
        <f aca="false">Параметры!$B$4</f>
        <v>10</v>
      </c>
      <c r="F14" s="11" t="s">
        <v>98</v>
      </c>
      <c r="G14" s="11" t="s">
        <v>99</v>
      </c>
      <c r="H14" s="11" t="s">
        <v>70</v>
      </c>
      <c r="I14" s="11" t="s">
        <v>100</v>
      </c>
      <c r="J14" s="11" t="s">
        <v>63</v>
      </c>
      <c r="K14" s="11" t="s">
        <v>72</v>
      </c>
      <c r="L14" s="12" t="n">
        <v>3</v>
      </c>
      <c r="M14" s="11" t="s">
        <v>101</v>
      </c>
    </row>
    <row r="15" customFormat="false" ht="91" hidden="false" customHeight="false" outlineLevel="0" collapsed="false">
      <c r="A15" s="10" t="n">
        <v>10</v>
      </c>
      <c r="B15" s="10" t="s">
        <v>82</v>
      </c>
      <c r="C15" s="11" t="s">
        <v>102</v>
      </c>
      <c r="D15" s="11" t="s">
        <v>103</v>
      </c>
      <c r="E15" s="10" t="n">
        <f aca="false">Параметры!$B$4</f>
        <v>10</v>
      </c>
      <c r="F15" s="11" t="s">
        <v>104</v>
      </c>
      <c r="G15" s="11" t="s">
        <v>105</v>
      </c>
      <c r="H15" s="11" t="s">
        <v>106</v>
      </c>
      <c r="I15" s="11" t="s">
        <v>107</v>
      </c>
      <c r="J15" s="11" t="s">
        <v>63</v>
      </c>
      <c r="K15" s="11" t="s">
        <v>108</v>
      </c>
      <c r="L15" s="12" t="n">
        <v>3</v>
      </c>
      <c r="M15" s="11" t="s">
        <v>109</v>
      </c>
    </row>
    <row r="16" customFormat="false" ht="15" hidden="false" customHeight="false" outlineLevel="0" collapsed="false">
      <c r="A16" s="9" t="s">
        <v>110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191.75" hidden="false" customHeight="false" outlineLevel="0" collapsed="false">
      <c r="A17" s="10" t="n">
        <v>11</v>
      </c>
      <c r="B17" s="10" t="s">
        <v>111</v>
      </c>
      <c r="C17" s="11" t="s">
        <v>112</v>
      </c>
      <c r="D17" s="11" t="s">
        <v>31</v>
      </c>
      <c r="E17" s="10" t="n">
        <f aca="false">Параметры!$B$5</f>
        <v>3</v>
      </c>
      <c r="F17" s="11" t="s">
        <v>113</v>
      </c>
      <c r="G17" s="11" t="s">
        <v>114</v>
      </c>
      <c r="H17" s="11" t="s">
        <v>115</v>
      </c>
      <c r="I17" s="11" t="s">
        <v>116</v>
      </c>
      <c r="J17" s="11" t="s">
        <v>117</v>
      </c>
      <c r="K17" s="11" t="s">
        <v>118</v>
      </c>
      <c r="L17" s="12" t="n">
        <v>5</v>
      </c>
      <c r="M17" s="11" t="s">
        <v>119</v>
      </c>
    </row>
    <row r="18" customFormat="false" ht="15" hidden="false" customHeight="false" outlineLevel="0" collapsed="false">
      <c r="K18" s="13" t="s">
        <v>120</v>
      </c>
      <c r="L18" s="14" t="n">
        <f aca="false">L5+L6+L7+L8+L9+L10+L12+L13+L14+L15+L17</f>
        <v>38</v>
      </c>
    </row>
    <row r="19" customFormat="false" ht="15" hidden="false" customHeight="false" outlineLevel="0" collapsed="false">
      <c r="K19" s="15" t="s">
        <v>121</v>
      </c>
      <c r="L19" s="16" t="n">
        <f aca="false">L5+L6+L7+L8+L9+L10</f>
        <v>21</v>
      </c>
    </row>
    <row r="20" customFormat="false" ht="15" hidden="false" customHeight="false" outlineLevel="0" collapsed="false">
      <c r="K20" s="15" t="s">
        <v>122</v>
      </c>
      <c r="L20" s="16" t="n">
        <f aca="false">L12+L13+L14+L15</f>
        <v>12</v>
      </c>
    </row>
    <row r="21" customFormat="false" ht="15" hidden="false" customHeight="false" outlineLevel="0" collapsed="false">
      <c r="K21" s="15" t="s">
        <v>123</v>
      </c>
      <c r="L21" s="16" t="n">
        <f aca="false">L17</f>
        <v>5</v>
      </c>
    </row>
    <row r="23" customFormat="false" ht="15" hidden="false" customHeight="false" outlineLevel="0" collapsed="false">
      <c r="A23" s="4" t="s">
        <v>124</v>
      </c>
    </row>
  </sheetData>
  <mergeCells count="3">
    <mergeCell ref="A4:M4"/>
    <mergeCell ref="A11:M11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15" hidden="false" customHeight="false" outlineLevel="0" collapsed="false">
      <c r="A1" s="1" t="s">
        <v>125</v>
      </c>
    </row>
    <row r="3" customFormat="false" ht="23.85" hidden="false" customHeight="false" outlineLevel="0" collapsed="false">
      <c r="A3" s="8" t="s">
        <v>16</v>
      </c>
      <c r="B3" s="8" t="s">
        <v>15</v>
      </c>
      <c r="C3" s="8" t="s">
        <v>17</v>
      </c>
      <c r="D3" s="8" t="s">
        <v>126</v>
      </c>
      <c r="E3" s="8" t="s">
        <v>127</v>
      </c>
      <c r="F3" s="8" t="s">
        <v>128</v>
      </c>
      <c r="G3" s="8" t="s">
        <v>129</v>
      </c>
      <c r="H3" s="8" t="s">
        <v>19</v>
      </c>
      <c r="I3" s="8" t="s">
        <v>130</v>
      </c>
      <c r="J3" s="8" t="s">
        <v>131</v>
      </c>
    </row>
    <row r="4" customFormat="false" ht="15" hidden="false" customHeight="false" outlineLevel="0" collapsed="false">
      <c r="A4" s="10" t="n">
        <v>1</v>
      </c>
      <c r="B4" s="10" t="n">
        <v>1</v>
      </c>
      <c r="C4" s="11" t="s">
        <v>30</v>
      </c>
      <c r="D4" s="11" t="s">
        <v>132</v>
      </c>
      <c r="E4" s="11" t="s">
        <v>133</v>
      </c>
      <c r="F4" s="10" t="s">
        <v>134</v>
      </c>
      <c r="G4" s="12" t="n">
        <v>1</v>
      </c>
      <c r="H4" s="17" t="n">
        <f aca="false">Параметры!$B$3</f>
        <v>20</v>
      </c>
      <c r="I4" s="10" t="n">
        <f aca="false">ROUNDUP(G4*H4*(1+Параметры!$B$6),0)</f>
        <v>22</v>
      </c>
      <c r="J4" s="11"/>
    </row>
    <row r="5" customFormat="false" ht="15" hidden="false" customHeight="false" outlineLevel="0" collapsed="false">
      <c r="A5" s="10" t="n">
        <v>1</v>
      </c>
      <c r="B5" s="10" t="n">
        <v>1</v>
      </c>
      <c r="C5" s="11" t="s">
        <v>30</v>
      </c>
      <c r="D5" s="11" t="s">
        <v>135</v>
      </c>
      <c r="E5" s="11" t="s">
        <v>136</v>
      </c>
      <c r="F5" s="10" t="s">
        <v>134</v>
      </c>
      <c r="G5" s="12" t="n">
        <v>1</v>
      </c>
      <c r="H5" s="17" t="n">
        <f aca="false">Параметры!$B$3</f>
        <v>20</v>
      </c>
      <c r="I5" s="10" t="n">
        <f aca="false">ROUNDUP(G5*H5*(1+Параметры!$B$6),0)</f>
        <v>22</v>
      </c>
      <c r="J5" s="11"/>
    </row>
    <row r="6" customFormat="false" ht="15" hidden="false" customHeight="false" outlineLevel="0" collapsed="false">
      <c r="A6" s="10" t="n">
        <v>1</v>
      </c>
      <c r="B6" s="10" t="n">
        <v>1</v>
      </c>
      <c r="C6" s="11" t="s">
        <v>30</v>
      </c>
      <c r="D6" s="11" t="s">
        <v>137</v>
      </c>
      <c r="E6" s="11" t="s">
        <v>136</v>
      </c>
      <c r="F6" s="10" t="s">
        <v>134</v>
      </c>
      <c r="G6" s="12" t="n">
        <v>1</v>
      </c>
      <c r="H6" s="17" t="n">
        <f aca="false">Параметры!$B$3</f>
        <v>20</v>
      </c>
      <c r="I6" s="10" t="n">
        <f aca="false">ROUNDUP(G6*H6*(1+Параметры!$B$6),0)</f>
        <v>22</v>
      </c>
      <c r="J6" s="11" t="s">
        <v>138</v>
      </c>
    </row>
    <row r="7" customFormat="false" ht="15" hidden="false" customHeight="false" outlineLevel="0" collapsed="false">
      <c r="A7" s="10" t="n">
        <v>1</v>
      </c>
      <c r="B7" s="10" t="n">
        <v>1</v>
      </c>
      <c r="C7" s="11" t="s">
        <v>30</v>
      </c>
      <c r="D7" s="11" t="s">
        <v>139</v>
      </c>
      <c r="E7" s="11" t="s">
        <v>140</v>
      </c>
      <c r="F7" s="10" t="s">
        <v>134</v>
      </c>
      <c r="G7" s="12" t="n">
        <v>2</v>
      </c>
      <c r="H7" s="17" t="n">
        <f aca="false">Параметры!$B$3</f>
        <v>20</v>
      </c>
      <c r="I7" s="10" t="n">
        <f aca="false">ROUNDUP(G7*H7*(1+Параметры!$B$6),0)</f>
        <v>44</v>
      </c>
      <c r="J7" s="11" t="s">
        <v>141</v>
      </c>
    </row>
    <row r="8" customFormat="false" ht="15" hidden="false" customHeight="false" outlineLevel="0" collapsed="false">
      <c r="A8" s="10" t="n">
        <v>1</v>
      </c>
      <c r="B8" s="10" t="n">
        <v>1</v>
      </c>
      <c r="C8" s="11" t="s">
        <v>30</v>
      </c>
      <c r="D8" s="11" t="s">
        <v>142</v>
      </c>
      <c r="E8" s="11" t="s">
        <v>140</v>
      </c>
      <c r="F8" s="10" t="s">
        <v>134</v>
      </c>
      <c r="G8" s="12" t="n">
        <v>2</v>
      </c>
      <c r="H8" s="17" t="n">
        <f aca="false">Параметры!$B$3</f>
        <v>20</v>
      </c>
      <c r="I8" s="10" t="n">
        <f aca="false">ROUNDUP(G8*H8*(1+Параметры!$B$6),0)</f>
        <v>44</v>
      </c>
      <c r="J8" s="11" t="s">
        <v>141</v>
      </c>
    </row>
    <row r="9" customFormat="false" ht="15" hidden="false" customHeight="false" outlineLevel="0" collapsed="false">
      <c r="A9" s="10" t="n">
        <v>1</v>
      </c>
      <c r="B9" s="10" t="n">
        <v>1</v>
      </c>
      <c r="C9" s="11" t="s">
        <v>30</v>
      </c>
      <c r="D9" s="11" t="s">
        <v>143</v>
      </c>
      <c r="E9" s="11" t="s">
        <v>140</v>
      </c>
      <c r="F9" s="10" t="s">
        <v>134</v>
      </c>
      <c r="G9" s="12" t="n">
        <v>1</v>
      </c>
      <c r="H9" s="17" t="n">
        <f aca="false">Параметры!$B$3</f>
        <v>20</v>
      </c>
      <c r="I9" s="10" t="n">
        <f aca="false">ROUNDUP(G9*H9*(1+Параметры!$B$6),0)</f>
        <v>22</v>
      </c>
      <c r="J9" s="11" t="s">
        <v>141</v>
      </c>
    </row>
    <row r="10" customFormat="false" ht="15" hidden="false" customHeight="false" outlineLevel="0" collapsed="false">
      <c r="A10" s="10" t="n">
        <v>1</v>
      </c>
      <c r="B10" s="10" t="n">
        <v>1</v>
      </c>
      <c r="C10" s="11" t="s">
        <v>30</v>
      </c>
      <c r="D10" s="11" t="s">
        <v>144</v>
      </c>
      <c r="E10" s="11" t="s">
        <v>145</v>
      </c>
      <c r="F10" s="10" t="s">
        <v>134</v>
      </c>
      <c r="G10" s="12" t="n">
        <v>1</v>
      </c>
      <c r="H10" s="17" t="n">
        <f aca="false">Параметры!$B$3</f>
        <v>20</v>
      </c>
      <c r="I10" s="10" t="n">
        <f aca="false">ROUNDUP(G10*H10*(1+Параметры!$B$6),0)</f>
        <v>22</v>
      </c>
      <c r="J10" s="11"/>
    </row>
    <row r="11" customFormat="false" ht="15" hidden="false" customHeight="false" outlineLevel="0" collapsed="false">
      <c r="A11" s="10" t="n">
        <v>1</v>
      </c>
      <c r="B11" s="10" t="n">
        <v>1</v>
      </c>
      <c r="C11" s="11" t="s">
        <v>30</v>
      </c>
      <c r="D11" s="11" t="s">
        <v>146</v>
      </c>
      <c r="E11" s="11" t="s">
        <v>145</v>
      </c>
      <c r="F11" s="10" t="s">
        <v>147</v>
      </c>
      <c r="G11" s="12" t="n">
        <v>3</v>
      </c>
      <c r="H11" s="17" t="n">
        <f aca="false">Параметры!$B$3</f>
        <v>20</v>
      </c>
      <c r="I11" s="10" t="n">
        <f aca="false">ROUNDUP(G11*H11*(1+Параметры!$B$6),0)</f>
        <v>66</v>
      </c>
      <c r="J11" s="11" t="s">
        <v>148</v>
      </c>
    </row>
    <row r="12" customFormat="false" ht="15" hidden="false" customHeight="false" outlineLevel="0" collapsed="false">
      <c r="A12" s="10" t="n">
        <v>1</v>
      </c>
      <c r="B12" s="10" t="n">
        <v>2</v>
      </c>
      <c r="C12" s="11" t="s">
        <v>39</v>
      </c>
      <c r="D12" s="11" t="s">
        <v>149</v>
      </c>
      <c r="E12" s="11" t="s">
        <v>133</v>
      </c>
      <c r="F12" s="10" t="s">
        <v>134</v>
      </c>
      <c r="G12" s="12" t="n">
        <v>1</v>
      </c>
      <c r="H12" s="17" t="n">
        <f aca="false">Параметры!$B$3</f>
        <v>20</v>
      </c>
      <c r="I12" s="10" t="n">
        <f aca="false">ROUNDUP(G12*H12*(1+Параметры!$B$6),0)</f>
        <v>22</v>
      </c>
      <c r="J12" s="11"/>
    </row>
    <row r="13" customFormat="false" ht="15" hidden="false" customHeight="false" outlineLevel="0" collapsed="false">
      <c r="A13" s="10" t="n">
        <v>1</v>
      </c>
      <c r="B13" s="10" t="n">
        <v>2</v>
      </c>
      <c r="C13" s="11" t="s">
        <v>39</v>
      </c>
      <c r="D13" s="11" t="s">
        <v>150</v>
      </c>
      <c r="E13" s="11" t="s">
        <v>133</v>
      </c>
      <c r="F13" s="10" t="s">
        <v>134</v>
      </c>
      <c r="G13" s="12" t="n">
        <v>1</v>
      </c>
      <c r="H13" s="17" t="n">
        <f aca="false">Параметры!$B$3</f>
        <v>20</v>
      </c>
      <c r="I13" s="10" t="n">
        <f aca="false">ROUNDUP(G13*H13*(1+Параметры!$B$6),0)</f>
        <v>22</v>
      </c>
      <c r="J13" s="11"/>
    </row>
    <row r="14" customFormat="false" ht="15" hidden="false" customHeight="false" outlineLevel="0" collapsed="false">
      <c r="A14" s="10" t="n">
        <v>1</v>
      </c>
      <c r="B14" s="10" t="n">
        <v>2</v>
      </c>
      <c r="C14" s="11" t="s">
        <v>39</v>
      </c>
      <c r="D14" s="11" t="s">
        <v>151</v>
      </c>
      <c r="E14" s="11" t="s">
        <v>145</v>
      </c>
      <c r="F14" s="10" t="s">
        <v>134</v>
      </c>
      <c r="G14" s="12" t="n">
        <v>1</v>
      </c>
      <c r="H14" s="17" t="n">
        <f aca="false">Параметры!$B$3</f>
        <v>20</v>
      </c>
      <c r="I14" s="10" t="n">
        <f aca="false">ROUNDUP(G14*H14*(1+Параметры!$B$6),0)</f>
        <v>22</v>
      </c>
      <c r="J14" s="11"/>
    </row>
    <row r="15" customFormat="false" ht="15" hidden="false" customHeight="false" outlineLevel="0" collapsed="false">
      <c r="A15" s="10" t="n">
        <v>1</v>
      </c>
      <c r="B15" s="10" t="n">
        <v>2</v>
      </c>
      <c r="C15" s="11" t="s">
        <v>39</v>
      </c>
      <c r="D15" s="11" t="s">
        <v>152</v>
      </c>
      <c r="E15" s="11" t="s">
        <v>136</v>
      </c>
      <c r="F15" s="10" t="s">
        <v>134</v>
      </c>
      <c r="G15" s="12" t="n">
        <v>1</v>
      </c>
      <c r="H15" s="17" t="n">
        <f aca="false">Параметры!$B$3</f>
        <v>20</v>
      </c>
      <c r="I15" s="10" t="n">
        <f aca="false">ROUNDUP(G15*H15*(1+Параметры!$B$6),0)</f>
        <v>22</v>
      </c>
      <c r="J15" s="11" t="s">
        <v>138</v>
      </c>
    </row>
    <row r="16" customFormat="false" ht="15" hidden="false" customHeight="false" outlineLevel="0" collapsed="false">
      <c r="A16" s="10" t="n">
        <v>1</v>
      </c>
      <c r="B16" s="10" t="n">
        <v>2</v>
      </c>
      <c r="C16" s="11" t="s">
        <v>39</v>
      </c>
      <c r="D16" s="11" t="s">
        <v>153</v>
      </c>
      <c r="E16" s="11" t="s">
        <v>136</v>
      </c>
      <c r="F16" s="10" t="s">
        <v>134</v>
      </c>
      <c r="G16" s="12" t="n">
        <v>1</v>
      </c>
      <c r="H16" s="17" t="n">
        <f aca="false">Параметры!$B$3</f>
        <v>20</v>
      </c>
      <c r="I16" s="10" t="n">
        <f aca="false">ROUNDUP(G16*H16*(1+Параметры!$B$6),0)</f>
        <v>22</v>
      </c>
      <c r="J16" s="11" t="s">
        <v>138</v>
      </c>
    </row>
    <row r="17" customFormat="false" ht="15" hidden="false" customHeight="false" outlineLevel="0" collapsed="false">
      <c r="A17" s="10" t="n">
        <v>1</v>
      </c>
      <c r="B17" s="10" t="n">
        <v>2</v>
      </c>
      <c r="C17" s="11" t="s">
        <v>39</v>
      </c>
      <c r="D17" s="11" t="s">
        <v>154</v>
      </c>
      <c r="E17" s="11" t="s">
        <v>140</v>
      </c>
      <c r="F17" s="10" t="s">
        <v>134</v>
      </c>
      <c r="G17" s="12" t="n">
        <v>2</v>
      </c>
      <c r="H17" s="17" t="n">
        <f aca="false">Параметры!$B$3</f>
        <v>20</v>
      </c>
      <c r="I17" s="10" t="n">
        <f aca="false">ROUNDUP(G17*H17*(1+Параметры!$B$6),0)</f>
        <v>44</v>
      </c>
      <c r="J17" s="11"/>
    </row>
    <row r="18" customFormat="false" ht="15" hidden="false" customHeight="false" outlineLevel="0" collapsed="false">
      <c r="A18" s="10" t="n">
        <v>1</v>
      </c>
      <c r="B18" s="10" t="n">
        <v>2</v>
      </c>
      <c r="C18" s="11" t="s">
        <v>39</v>
      </c>
      <c r="D18" s="11" t="s">
        <v>155</v>
      </c>
      <c r="E18" s="11" t="s">
        <v>140</v>
      </c>
      <c r="F18" s="10" t="s">
        <v>134</v>
      </c>
      <c r="G18" s="12" t="n">
        <v>1</v>
      </c>
      <c r="H18" s="17" t="n">
        <f aca="false">Параметры!$B$3</f>
        <v>20</v>
      </c>
      <c r="I18" s="10" t="n">
        <f aca="false">ROUNDUP(G18*H18*(1+Параметры!$B$6),0)</f>
        <v>22</v>
      </c>
      <c r="J18" s="11"/>
    </row>
    <row r="19" customFormat="false" ht="15" hidden="false" customHeight="false" outlineLevel="0" collapsed="false">
      <c r="A19" s="10" t="n">
        <v>1</v>
      </c>
      <c r="B19" s="10" t="n">
        <v>2</v>
      </c>
      <c r="C19" s="11" t="s">
        <v>39</v>
      </c>
      <c r="D19" s="11" t="s">
        <v>156</v>
      </c>
      <c r="E19" s="11" t="s">
        <v>145</v>
      </c>
      <c r="F19" s="10" t="s">
        <v>134</v>
      </c>
      <c r="G19" s="12" t="n">
        <v>1</v>
      </c>
      <c r="H19" s="17" t="n">
        <f aca="false">Параметры!$B$3</f>
        <v>20</v>
      </c>
      <c r="I19" s="10" t="n">
        <f aca="false">ROUNDUP(G19*H19*(1+Параметры!$B$6),0)</f>
        <v>22</v>
      </c>
      <c r="J19" s="11"/>
    </row>
    <row r="20" customFormat="false" ht="15" hidden="false" customHeight="false" outlineLevel="0" collapsed="false">
      <c r="A20" s="10" t="n">
        <v>1</v>
      </c>
      <c r="B20" s="10" t="n">
        <v>2</v>
      </c>
      <c r="C20" s="11" t="s">
        <v>39</v>
      </c>
      <c r="D20" s="11" t="s">
        <v>146</v>
      </c>
      <c r="E20" s="11" t="s">
        <v>145</v>
      </c>
      <c r="F20" s="10" t="s">
        <v>147</v>
      </c>
      <c r="G20" s="12" t="n">
        <v>3</v>
      </c>
      <c r="H20" s="17" t="n">
        <f aca="false">Параметры!$B$3</f>
        <v>20</v>
      </c>
      <c r="I20" s="10" t="n">
        <f aca="false">ROUNDUP(G20*H20*(1+Параметры!$B$6),0)</f>
        <v>66</v>
      </c>
      <c r="J20" s="11" t="s">
        <v>148</v>
      </c>
    </row>
    <row r="21" customFormat="false" ht="15" hidden="false" customHeight="false" outlineLevel="0" collapsed="false">
      <c r="A21" s="10" t="n">
        <v>1</v>
      </c>
      <c r="B21" s="10" t="n">
        <v>3</v>
      </c>
      <c r="C21" s="11" t="s">
        <v>48</v>
      </c>
      <c r="D21" s="11" t="s">
        <v>157</v>
      </c>
      <c r="E21" s="11" t="s">
        <v>133</v>
      </c>
      <c r="F21" s="10" t="s">
        <v>134</v>
      </c>
      <c r="G21" s="12" t="n">
        <v>1</v>
      </c>
      <c r="H21" s="17" t="n">
        <f aca="false">Параметры!$B$3</f>
        <v>20</v>
      </c>
      <c r="I21" s="10" t="n">
        <f aca="false">ROUNDUP(G21*H21*(1+Параметры!$B$6),0)</f>
        <v>22</v>
      </c>
      <c r="J21" s="11"/>
    </row>
    <row r="22" customFormat="false" ht="23.85" hidden="false" customHeight="false" outlineLevel="0" collapsed="false">
      <c r="A22" s="10" t="n">
        <v>1</v>
      </c>
      <c r="B22" s="10" t="n">
        <v>3</v>
      </c>
      <c r="C22" s="11" t="s">
        <v>48</v>
      </c>
      <c r="D22" s="11" t="s">
        <v>158</v>
      </c>
      <c r="E22" s="11" t="s">
        <v>136</v>
      </c>
      <c r="F22" s="10" t="s">
        <v>134</v>
      </c>
      <c r="G22" s="12" t="n">
        <v>1</v>
      </c>
      <c r="H22" s="17" t="n">
        <f aca="false">Параметры!$B$3</f>
        <v>20</v>
      </c>
      <c r="I22" s="10" t="n">
        <f aca="false">ROUNDUP(G22*H22*(1+Параметры!$B$6),0)</f>
        <v>22</v>
      </c>
      <c r="J22" s="11"/>
    </row>
    <row r="23" customFormat="false" ht="15" hidden="false" customHeight="false" outlineLevel="0" collapsed="false">
      <c r="A23" s="10" t="n">
        <v>1</v>
      </c>
      <c r="B23" s="10" t="n">
        <v>3</v>
      </c>
      <c r="C23" s="11" t="s">
        <v>48</v>
      </c>
      <c r="D23" s="11" t="s">
        <v>159</v>
      </c>
      <c r="E23" s="11" t="s">
        <v>136</v>
      </c>
      <c r="F23" s="10" t="s">
        <v>134</v>
      </c>
      <c r="G23" s="12" t="n">
        <v>1</v>
      </c>
      <c r="H23" s="17" t="n">
        <f aca="false">Параметры!$B$3</f>
        <v>20</v>
      </c>
      <c r="I23" s="10" t="n">
        <f aca="false">ROUNDUP(G23*H23*(1+Параметры!$B$6),0)</f>
        <v>22</v>
      </c>
      <c r="J23" s="11"/>
    </row>
    <row r="24" customFormat="false" ht="15" hidden="false" customHeight="false" outlineLevel="0" collapsed="false">
      <c r="A24" s="10" t="n">
        <v>1</v>
      </c>
      <c r="B24" s="10" t="n">
        <v>3</v>
      </c>
      <c r="C24" s="11" t="s">
        <v>48</v>
      </c>
      <c r="D24" s="11" t="s">
        <v>160</v>
      </c>
      <c r="E24" s="11" t="s">
        <v>140</v>
      </c>
      <c r="F24" s="10" t="s">
        <v>134</v>
      </c>
      <c r="G24" s="12" t="n">
        <v>3</v>
      </c>
      <c r="H24" s="17" t="n">
        <f aca="false">Параметры!$B$3</f>
        <v>20</v>
      </c>
      <c r="I24" s="10" t="n">
        <f aca="false">ROUNDUP(G24*H24*(1+Параметры!$B$6),0)</f>
        <v>66</v>
      </c>
      <c r="J24" s="11"/>
    </row>
    <row r="25" customFormat="false" ht="15" hidden="false" customHeight="false" outlineLevel="0" collapsed="false">
      <c r="A25" s="10" t="n">
        <v>1</v>
      </c>
      <c r="B25" s="10" t="n">
        <v>3</v>
      </c>
      <c r="C25" s="11" t="s">
        <v>48</v>
      </c>
      <c r="D25" s="11" t="s">
        <v>161</v>
      </c>
      <c r="E25" s="11" t="s">
        <v>145</v>
      </c>
      <c r="F25" s="10" t="s">
        <v>134</v>
      </c>
      <c r="G25" s="12" t="n">
        <v>1</v>
      </c>
      <c r="H25" s="17" t="n">
        <f aca="false">Параметры!$B$3</f>
        <v>20</v>
      </c>
      <c r="I25" s="10" t="n">
        <f aca="false">ROUNDUP(G25*H25*(1+Параметры!$B$6),0)</f>
        <v>22</v>
      </c>
      <c r="J25" s="11"/>
    </row>
    <row r="26" customFormat="false" ht="15" hidden="false" customHeight="false" outlineLevel="0" collapsed="false">
      <c r="A26" s="10" t="n">
        <v>1</v>
      </c>
      <c r="B26" s="10" t="n">
        <v>3</v>
      </c>
      <c r="C26" s="11" t="s">
        <v>48</v>
      </c>
      <c r="D26" s="11" t="s">
        <v>146</v>
      </c>
      <c r="E26" s="11" t="s">
        <v>145</v>
      </c>
      <c r="F26" s="10" t="s">
        <v>147</v>
      </c>
      <c r="G26" s="12" t="n">
        <v>3</v>
      </c>
      <c r="H26" s="17" t="n">
        <f aca="false">Параметры!$B$3</f>
        <v>20</v>
      </c>
      <c r="I26" s="10" t="n">
        <f aca="false">ROUNDUP(G26*H26*(1+Параметры!$B$6),0)</f>
        <v>66</v>
      </c>
      <c r="J26" s="11" t="s">
        <v>148</v>
      </c>
    </row>
    <row r="27" customFormat="false" ht="15" hidden="false" customHeight="false" outlineLevel="0" collapsed="false">
      <c r="A27" s="10" t="n">
        <v>1</v>
      </c>
      <c r="B27" s="10" t="n">
        <v>4</v>
      </c>
      <c r="C27" s="11" t="s">
        <v>57</v>
      </c>
      <c r="D27" s="11" t="s">
        <v>162</v>
      </c>
      <c r="E27" s="11" t="s">
        <v>133</v>
      </c>
      <c r="F27" s="10" t="s">
        <v>134</v>
      </c>
      <c r="G27" s="12" t="n">
        <v>1</v>
      </c>
      <c r="H27" s="17" t="n">
        <f aca="false">Параметры!$B$3</f>
        <v>20</v>
      </c>
      <c r="I27" s="10" t="n">
        <f aca="false">ROUNDUP(G27*H27*(1+Параметры!$B$6),0)</f>
        <v>22</v>
      </c>
      <c r="J27" s="11"/>
    </row>
    <row r="28" customFormat="false" ht="15" hidden="false" customHeight="false" outlineLevel="0" collapsed="false">
      <c r="A28" s="10" t="n">
        <v>1</v>
      </c>
      <c r="B28" s="10" t="n">
        <v>4</v>
      </c>
      <c r="C28" s="11" t="s">
        <v>57</v>
      </c>
      <c r="D28" s="11" t="s">
        <v>163</v>
      </c>
      <c r="E28" s="11" t="s">
        <v>140</v>
      </c>
      <c r="F28" s="10" t="s">
        <v>134</v>
      </c>
      <c r="G28" s="12" t="n">
        <v>2</v>
      </c>
      <c r="H28" s="17" t="n">
        <f aca="false">Параметры!$B$3</f>
        <v>20</v>
      </c>
      <c r="I28" s="10" t="n">
        <f aca="false">ROUNDUP(G28*H28*(1+Параметры!$B$6),0)</f>
        <v>44</v>
      </c>
      <c r="J28" s="11"/>
    </row>
    <row r="29" customFormat="false" ht="15" hidden="false" customHeight="false" outlineLevel="0" collapsed="false">
      <c r="A29" s="10" t="n">
        <v>1</v>
      </c>
      <c r="B29" s="10" t="n">
        <v>4</v>
      </c>
      <c r="C29" s="11" t="s">
        <v>57</v>
      </c>
      <c r="D29" s="11" t="s">
        <v>164</v>
      </c>
      <c r="E29" s="11" t="s">
        <v>140</v>
      </c>
      <c r="F29" s="10" t="s">
        <v>134</v>
      </c>
      <c r="G29" s="12" t="n">
        <v>1</v>
      </c>
      <c r="H29" s="17" t="n">
        <f aca="false">Параметры!$B$3</f>
        <v>20</v>
      </c>
      <c r="I29" s="10" t="n">
        <f aca="false">ROUNDUP(G29*H29*(1+Параметры!$B$6),0)</f>
        <v>22</v>
      </c>
      <c r="J29" s="11"/>
    </row>
    <row r="30" customFormat="false" ht="15" hidden="false" customHeight="false" outlineLevel="0" collapsed="false">
      <c r="A30" s="10" t="n">
        <v>1</v>
      </c>
      <c r="B30" s="10" t="n">
        <v>4</v>
      </c>
      <c r="C30" s="11" t="s">
        <v>57</v>
      </c>
      <c r="D30" s="11" t="s">
        <v>165</v>
      </c>
      <c r="E30" s="11" t="s">
        <v>145</v>
      </c>
      <c r="F30" s="10" t="s">
        <v>134</v>
      </c>
      <c r="G30" s="12" t="n">
        <v>1</v>
      </c>
      <c r="H30" s="17" t="n">
        <f aca="false">Параметры!$B$3</f>
        <v>20</v>
      </c>
      <c r="I30" s="10" t="n">
        <f aca="false">ROUNDUP(G30*H30*(1+Параметры!$B$6),0)</f>
        <v>22</v>
      </c>
      <c r="J30" s="11"/>
    </row>
    <row r="31" customFormat="false" ht="15" hidden="false" customHeight="false" outlineLevel="0" collapsed="false">
      <c r="A31" s="10" t="n">
        <v>1</v>
      </c>
      <c r="B31" s="10" t="n">
        <v>4</v>
      </c>
      <c r="C31" s="11" t="s">
        <v>57</v>
      </c>
      <c r="D31" s="11" t="s">
        <v>166</v>
      </c>
      <c r="E31" s="11" t="s">
        <v>145</v>
      </c>
      <c r="F31" s="10" t="s">
        <v>134</v>
      </c>
      <c r="G31" s="12" t="n">
        <v>1</v>
      </c>
      <c r="H31" s="17" t="n">
        <f aca="false">Параметры!$B$3</f>
        <v>20</v>
      </c>
      <c r="I31" s="10" t="n">
        <f aca="false">ROUNDUP(G31*H31*(1+Параметры!$B$6),0)</f>
        <v>22</v>
      </c>
      <c r="J31" s="11"/>
    </row>
    <row r="32" customFormat="false" ht="15" hidden="false" customHeight="false" outlineLevel="0" collapsed="false">
      <c r="A32" s="10" t="n">
        <v>1</v>
      </c>
      <c r="B32" s="10" t="n">
        <v>4</v>
      </c>
      <c r="C32" s="11" t="s">
        <v>57</v>
      </c>
      <c r="D32" s="11" t="s">
        <v>146</v>
      </c>
      <c r="E32" s="11" t="s">
        <v>145</v>
      </c>
      <c r="F32" s="10" t="s">
        <v>147</v>
      </c>
      <c r="G32" s="12" t="n">
        <v>3</v>
      </c>
      <c r="H32" s="17" t="n">
        <f aca="false">Параметры!$B$3</f>
        <v>20</v>
      </c>
      <c r="I32" s="10" t="n">
        <f aca="false">ROUNDUP(G32*H32*(1+Параметры!$B$6),0)</f>
        <v>66</v>
      </c>
      <c r="J32" s="11" t="s">
        <v>148</v>
      </c>
    </row>
    <row r="33" customFormat="false" ht="23.85" hidden="false" customHeight="false" outlineLevel="0" collapsed="false">
      <c r="A33" s="10" t="n">
        <v>1</v>
      </c>
      <c r="B33" s="10" t="n">
        <v>5</v>
      </c>
      <c r="C33" s="11" t="s">
        <v>66</v>
      </c>
      <c r="D33" s="11" t="s">
        <v>167</v>
      </c>
      <c r="E33" s="11" t="s">
        <v>133</v>
      </c>
      <c r="F33" s="10" t="s">
        <v>134</v>
      </c>
      <c r="G33" s="12" t="n">
        <v>1</v>
      </c>
      <c r="H33" s="17" t="n">
        <f aca="false">Параметры!$B$3</f>
        <v>20</v>
      </c>
      <c r="I33" s="10" t="n">
        <f aca="false">ROUNDUP(G33*H33*(1+Параметры!$B$6),0)</f>
        <v>22</v>
      </c>
      <c r="J33" s="11"/>
    </row>
    <row r="34" customFormat="false" ht="23.85" hidden="false" customHeight="false" outlineLevel="0" collapsed="false">
      <c r="A34" s="10" t="n">
        <v>1</v>
      </c>
      <c r="B34" s="10" t="n">
        <v>5</v>
      </c>
      <c r="C34" s="11" t="s">
        <v>66</v>
      </c>
      <c r="D34" s="11" t="s">
        <v>168</v>
      </c>
      <c r="E34" s="11" t="s">
        <v>140</v>
      </c>
      <c r="F34" s="10" t="s">
        <v>134</v>
      </c>
      <c r="G34" s="12" t="n">
        <v>1</v>
      </c>
      <c r="H34" s="17" t="n">
        <f aca="false">Параметры!$B$3</f>
        <v>20</v>
      </c>
      <c r="I34" s="10" t="n">
        <f aca="false">ROUNDUP(G34*H34*(1+Параметры!$B$6),0)</f>
        <v>22</v>
      </c>
      <c r="J34" s="11" t="s">
        <v>141</v>
      </c>
    </row>
    <row r="35" customFormat="false" ht="23.85" hidden="false" customHeight="false" outlineLevel="0" collapsed="false">
      <c r="A35" s="10" t="n">
        <v>1</v>
      </c>
      <c r="B35" s="10" t="n">
        <v>5</v>
      </c>
      <c r="C35" s="11" t="s">
        <v>66</v>
      </c>
      <c r="D35" s="11" t="s">
        <v>169</v>
      </c>
      <c r="E35" s="11" t="s">
        <v>140</v>
      </c>
      <c r="F35" s="10" t="s">
        <v>134</v>
      </c>
      <c r="G35" s="12" t="n">
        <v>1</v>
      </c>
      <c r="H35" s="17" t="n">
        <f aca="false">Параметры!$B$3</f>
        <v>20</v>
      </c>
      <c r="I35" s="10" t="n">
        <f aca="false">ROUNDUP(G35*H35*(1+Параметры!$B$6),0)</f>
        <v>22</v>
      </c>
      <c r="J35" s="11" t="s">
        <v>141</v>
      </c>
    </row>
    <row r="36" customFormat="false" ht="23.85" hidden="false" customHeight="false" outlineLevel="0" collapsed="false">
      <c r="A36" s="10" t="n">
        <v>1</v>
      </c>
      <c r="B36" s="10" t="n">
        <v>5</v>
      </c>
      <c r="C36" s="11" t="s">
        <v>66</v>
      </c>
      <c r="D36" s="11" t="s">
        <v>161</v>
      </c>
      <c r="E36" s="11" t="s">
        <v>145</v>
      </c>
      <c r="F36" s="10" t="s">
        <v>134</v>
      </c>
      <c r="G36" s="12" t="n">
        <v>1</v>
      </c>
      <c r="H36" s="17" t="n">
        <f aca="false">Параметры!$B$3</f>
        <v>20</v>
      </c>
      <c r="I36" s="10" t="n">
        <f aca="false">ROUNDUP(G36*H36*(1+Параметры!$B$6),0)</f>
        <v>22</v>
      </c>
      <c r="J36" s="11"/>
    </row>
    <row r="37" customFormat="false" ht="23.85" hidden="false" customHeight="false" outlineLevel="0" collapsed="false">
      <c r="A37" s="10" t="n">
        <v>1</v>
      </c>
      <c r="B37" s="10" t="n">
        <v>5</v>
      </c>
      <c r="C37" s="11" t="s">
        <v>66</v>
      </c>
      <c r="D37" s="11" t="s">
        <v>170</v>
      </c>
      <c r="E37" s="11" t="s">
        <v>145</v>
      </c>
      <c r="F37" s="10" t="s">
        <v>134</v>
      </c>
      <c r="G37" s="12" t="n">
        <v>1</v>
      </c>
      <c r="H37" s="17" t="n">
        <f aca="false">Параметры!$B$3</f>
        <v>20</v>
      </c>
      <c r="I37" s="10" t="n">
        <f aca="false">ROUNDUP(G37*H37*(1+Параметры!$B$6),0)</f>
        <v>22</v>
      </c>
      <c r="J37" s="11"/>
    </row>
    <row r="38" customFormat="false" ht="23.85" hidden="false" customHeight="false" outlineLevel="0" collapsed="false">
      <c r="A38" s="10" t="n">
        <v>1</v>
      </c>
      <c r="B38" s="10" t="n">
        <v>5</v>
      </c>
      <c r="C38" s="11" t="s">
        <v>66</v>
      </c>
      <c r="D38" s="11" t="s">
        <v>171</v>
      </c>
      <c r="E38" s="11" t="s">
        <v>145</v>
      </c>
      <c r="F38" s="10" t="s">
        <v>134</v>
      </c>
      <c r="G38" s="12" t="n">
        <v>1</v>
      </c>
      <c r="H38" s="17" t="n">
        <f aca="false">Параметры!$B$3</f>
        <v>20</v>
      </c>
      <c r="I38" s="10" t="n">
        <f aca="false">ROUNDUP(G38*H38*(1+Параметры!$B$6),0)</f>
        <v>22</v>
      </c>
      <c r="J38" s="11"/>
    </row>
    <row r="39" customFormat="false" ht="23.85" hidden="false" customHeight="false" outlineLevel="0" collapsed="false">
      <c r="A39" s="10" t="n">
        <v>1</v>
      </c>
      <c r="B39" s="10" t="n">
        <v>5</v>
      </c>
      <c r="C39" s="11" t="s">
        <v>66</v>
      </c>
      <c r="D39" s="11" t="s">
        <v>146</v>
      </c>
      <c r="E39" s="11" t="s">
        <v>145</v>
      </c>
      <c r="F39" s="10" t="s">
        <v>147</v>
      </c>
      <c r="G39" s="12" t="n">
        <v>3</v>
      </c>
      <c r="H39" s="17" t="n">
        <f aca="false">Параметры!$B$3</f>
        <v>20</v>
      </c>
      <c r="I39" s="10" t="n">
        <f aca="false">ROUNDUP(G39*H39*(1+Параметры!$B$6),0)</f>
        <v>66</v>
      </c>
      <c r="J39" s="11" t="s">
        <v>148</v>
      </c>
    </row>
    <row r="40" customFormat="false" ht="15" hidden="false" customHeight="false" outlineLevel="0" collapsed="false">
      <c r="A40" s="10" t="n">
        <v>1</v>
      </c>
      <c r="B40" s="10" t="n">
        <v>6</v>
      </c>
      <c r="C40" s="11" t="s">
        <v>74</v>
      </c>
      <c r="D40" s="11" t="s">
        <v>172</v>
      </c>
      <c r="E40" s="11" t="s">
        <v>140</v>
      </c>
      <c r="F40" s="10" t="s">
        <v>134</v>
      </c>
      <c r="G40" s="12" t="n">
        <v>3</v>
      </c>
      <c r="H40" s="17" t="n">
        <f aca="false">Параметры!$B$3</f>
        <v>20</v>
      </c>
      <c r="I40" s="10" t="n">
        <f aca="false">ROUNDUP(G40*H40*(1+Параметры!$B$6),0)</f>
        <v>66</v>
      </c>
      <c r="J40" s="11" t="s">
        <v>173</v>
      </c>
    </row>
    <row r="41" customFormat="false" ht="15" hidden="false" customHeight="false" outlineLevel="0" collapsed="false">
      <c r="A41" s="10" t="n">
        <v>1</v>
      </c>
      <c r="B41" s="10" t="n">
        <v>6</v>
      </c>
      <c r="C41" s="11" t="s">
        <v>74</v>
      </c>
      <c r="D41" s="11" t="s">
        <v>146</v>
      </c>
      <c r="E41" s="11" t="s">
        <v>145</v>
      </c>
      <c r="F41" s="10" t="s">
        <v>147</v>
      </c>
      <c r="G41" s="12" t="n">
        <v>3</v>
      </c>
      <c r="H41" s="17" t="n">
        <f aca="false">Параметры!$B$3</f>
        <v>20</v>
      </c>
      <c r="I41" s="10" t="n">
        <f aca="false">ROUNDUP(G41*H41*(1+Параметры!$B$6),0)</f>
        <v>66</v>
      </c>
      <c r="J41" s="11" t="s">
        <v>148</v>
      </c>
    </row>
    <row r="42" customFormat="false" ht="15" hidden="false" customHeight="false" outlineLevel="0" collapsed="false">
      <c r="A42" s="10" t="n">
        <v>1</v>
      </c>
      <c r="B42" s="10" t="n">
        <v>6</v>
      </c>
      <c r="C42" s="11" t="s">
        <v>74</v>
      </c>
      <c r="D42" s="11" t="s">
        <v>174</v>
      </c>
      <c r="E42" s="11" t="s">
        <v>145</v>
      </c>
      <c r="F42" s="10" t="s">
        <v>134</v>
      </c>
      <c r="G42" s="12" t="n">
        <v>3</v>
      </c>
      <c r="H42" s="17" t="n">
        <f aca="false">Параметры!$B$3</f>
        <v>20</v>
      </c>
      <c r="I42" s="10" t="n">
        <f aca="false">ROUNDUP(G42*H42*(1+Параметры!$B$6),0)</f>
        <v>66</v>
      </c>
      <c r="J42" s="11" t="s">
        <v>141</v>
      </c>
    </row>
    <row r="43" customFormat="false" ht="15" hidden="false" customHeight="false" outlineLevel="0" collapsed="false">
      <c r="A43" s="10" t="n">
        <v>2</v>
      </c>
      <c r="B43" s="10" t="n">
        <v>7</v>
      </c>
      <c r="C43" s="11" t="s">
        <v>83</v>
      </c>
      <c r="D43" s="11" t="s">
        <v>175</v>
      </c>
      <c r="E43" s="11" t="s">
        <v>145</v>
      </c>
      <c r="F43" s="10" t="s">
        <v>134</v>
      </c>
      <c r="G43" s="12" t="n">
        <v>2</v>
      </c>
      <c r="H43" s="17" t="n">
        <f aca="false">Параметры!$B$4</f>
        <v>10</v>
      </c>
      <c r="I43" s="10" t="n">
        <f aca="false">ROUNDUP(G43*H43*(1+Параметры!$B$6),0)</f>
        <v>22</v>
      </c>
      <c r="J43" s="11"/>
    </row>
    <row r="44" customFormat="false" ht="15" hidden="false" customHeight="false" outlineLevel="0" collapsed="false">
      <c r="A44" s="10" t="n">
        <v>2</v>
      </c>
      <c r="B44" s="10" t="n">
        <v>7</v>
      </c>
      <c r="C44" s="11" t="s">
        <v>83</v>
      </c>
      <c r="D44" s="11" t="s">
        <v>176</v>
      </c>
      <c r="E44" s="11" t="s">
        <v>145</v>
      </c>
      <c r="F44" s="10" t="s">
        <v>134</v>
      </c>
      <c r="G44" s="12" t="n">
        <v>2</v>
      </c>
      <c r="H44" s="17" t="n">
        <f aca="false">Параметры!$B$4</f>
        <v>10</v>
      </c>
      <c r="I44" s="10" t="n">
        <f aca="false">ROUNDUP(G44*H44*(1+Параметры!$B$6),0)</f>
        <v>22</v>
      </c>
      <c r="J44" s="11"/>
    </row>
    <row r="45" customFormat="false" ht="15" hidden="false" customHeight="false" outlineLevel="0" collapsed="false">
      <c r="A45" s="10" t="n">
        <v>2</v>
      </c>
      <c r="B45" s="10" t="n">
        <v>7</v>
      </c>
      <c r="C45" s="11" t="s">
        <v>83</v>
      </c>
      <c r="D45" s="11" t="s">
        <v>177</v>
      </c>
      <c r="E45" s="11" t="s">
        <v>145</v>
      </c>
      <c r="F45" s="10" t="s">
        <v>178</v>
      </c>
      <c r="G45" s="12" t="n">
        <v>1</v>
      </c>
      <c r="H45" s="17" t="n">
        <f aca="false">Параметры!$B$4</f>
        <v>10</v>
      </c>
      <c r="I45" s="10" t="n">
        <f aca="false">ROUNDUP(G45*H45*(1+Параметры!$B$6),0)</f>
        <v>11</v>
      </c>
      <c r="J45" s="11" t="s">
        <v>141</v>
      </c>
    </row>
    <row r="46" customFormat="false" ht="15" hidden="false" customHeight="false" outlineLevel="0" collapsed="false">
      <c r="A46" s="10" t="n">
        <v>2</v>
      </c>
      <c r="B46" s="10" t="n">
        <v>7</v>
      </c>
      <c r="C46" s="11" t="s">
        <v>83</v>
      </c>
      <c r="D46" s="11" t="s">
        <v>179</v>
      </c>
      <c r="E46" s="11" t="s">
        <v>145</v>
      </c>
      <c r="F46" s="10" t="s">
        <v>178</v>
      </c>
      <c r="G46" s="12" t="n">
        <v>1</v>
      </c>
      <c r="H46" s="17" t="n">
        <f aca="false">Параметры!$B$4</f>
        <v>10</v>
      </c>
      <c r="I46" s="10" t="n">
        <f aca="false">ROUNDUP(G46*H46*(1+Параметры!$B$6),0)</f>
        <v>11</v>
      </c>
      <c r="J46" s="11" t="s">
        <v>141</v>
      </c>
    </row>
    <row r="47" customFormat="false" ht="15" hidden="false" customHeight="false" outlineLevel="0" collapsed="false">
      <c r="A47" s="10" t="n">
        <v>2</v>
      </c>
      <c r="B47" s="10" t="n">
        <v>7</v>
      </c>
      <c r="C47" s="11" t="s">
        <v>83</v>
      </c>
      <c r="D47" s="11" t="s">
        <v>180</v>
      </c>
      <c r="E47" s="11" t="s">
        <v>145</v>
      </c>
      <c r="F47" s="10" t="s">
        <v>134</v>
      </c>
      <c r="G47" s="12" t="n">
        <v>1</v>
      </c>
      <c r="H47" s="17" t="n">
        <f aca="false">Параметры!$B$4</f>
        <v>10</v>
      </c>
      <c r="I47" s="10" t="n">
        <f aca="false">ROUNDUP(G47*H47*(1+Параметры!$B$6),0)</f>
        <v>11</v>
      </c>
      <c r="J47" s="11"/>
    </row>
    <row r="48" customFormat="false" ht="15" hidden="false" customHeight="false" outlineLevel="0" collapsed="false">
      <c r="A48" s="10" t="n">
        <v>2</v>
      </c>
      <c r="B48" s="10" t="n">
        <v>7</v>
      </c>
      <c r="C48" s="11" t="s">
        <v>83</v>
      </c>
      <c r="D48" s="11" t="s">
        <v>146</v>
      </c>
      <c r="E48" s="11" t="s">
        <v>145</v>
      </c>
      <c r="F48" s="10" t="s">
        <v>147</v>
      </c>
      <c r="G48" s="12" t="n">
        <v>3</v>
      </c>
      <c r="H48" s="17" t="n">
        <f aca="false">Параметры!$B$4</f>
        <v>10</v>
      </c>
      <c r="I48" s="10" t="n">
        <f aca="false">ROUNDUP(G48*H48*(1+Параметры!$B$6),0)</f>
        <v>33</v>
      </c>
      <c r="J48" s="11" t="s">
        <v>148</v>
      </c>
    </row>
    <row r="49" customFormat="false" ht="15" hidden="false" customHeight="false" outlineLevel="0" collapsed="false">
      <c r="A49" s="10" t="n">
        <v>2</v>
      </c>
      <c r="B49" s="10" t="n">
        <v>8</v>
      </c>
      <c r="C49" s="11" t="s">
        <v>89</v>
      </c>
      <c r="D49" s="11" t="s">
        <v>181</v>
      </c>
      <c r="E49" s="11" t="s">
        <v>133</v>
      </c>
      <c r="F49" s="10" t="s">
        <v>134</v>
      </c>
      <c r="G49" s="12" t="n">
        <v>1</v>
      </c>
      <c r="H49" s="17" t="n">
        <f aca="false">Параметры!$B$4</f>
        <v>10</v>
      </c>
      <c r="I49" s="10" t="n">
        <f aca="false">ROUNDUP(G49*H49*(1+Параметры!$B$6),0)</f>
        <v>11</v>
      </c>
      <c r="J49" s="11"/>
    </row>
    <row r="50" customFormat="false" ht="15" hidden="false" customHeight="false" outlineLevel="0" collapsed="false">
      <c r="A50" s="10" t="n">
        <v>2</v>
      </c>
      <c r="B50" s="10" t="n">
        <v>8</v>
      </c>
      <c r="C50" s="11" t="s">
        <v>89</v>
      </c>
      <c r="D50" s="11" t="s">
        <v>182</v>
      </c>
      <c r="E50" s="11" t="s">
        <v>133</v>
      </c>
      <c r="F50" s="10" t="s">
        <v>134</v>
      </c>
      <c r="G50" s="12" t="n">
        <v>1</v>
      </c>
      <c r="H50" s="17" t="n">
        <f aca="false">Параметры!$B$4</f>
        <v>10</v>
      </c>
      <c r="I50" s="10" t="n">
        <f aca="false">ROUNDUP(G50*H50*(1+Параметры!$B$6),0)</f>
        <v>11</v>
      </c>
      <c r="J50" s="11"/>
    </row>
    <row r="51" customFormat="false" ht="15" hidden="false" customHeight="false" outlineLevel="0" collapsed="false">
      <c r="A51" s="10" t="n">
        <v>2</v>
      </c>
      <c r="B51" s="10" t="n">
        <v>8</v>
      </c>
      <c r="C51" s="11" t="s">
        <v>89</v>
      </c>
      <c r="D51" s="11" t="s">
        <v>183</v>
      </c>
      <c r="E51" s="11" t="s">
        <v>140</v>
      </c>
      <c r="F51" s="10" t="s">
        <v>134</v>
      </c>
      <c r="G51" s="12" t="n">
        <v>1</v>
      </c>
      <c r="H51" s="17" t="n">
        <f aca="false">Параметры!$B$4</f>
        <v>10</v>
      </c>
      <c r="I51" s="10" t="n">
        <f aca="false">ROUNDUP(G51*H51*(1+Параметры!$B$6),0)</f>
        <v>11</v>
      </c>
      <c r="J51" s="11"/>
    </row>
    <row r="52" customFormat="false" ht="15" hidden="false" customHeight="false" outlineLevel="0" collapsed="false">
      <c r="A52" s="10" t="n">
        <v>2</v>
      </c>
      <c r="B52" s="10" t="n">
        <v>8</v>
      </c>
      <c r="C52" s="11" t="s">
        <v>89</v>
      </c>
      <c r="D52" s="11" t="s">
        <v>184</v>
      </c>
      <c r="E52" s="11" t="s">
        <v>140</v>
      </c>
      <c r="F52" s="10" t="s">
        <v>134</v>
      </c>
      <c r="G52" s="12" t="n">
        <v>2</v>
      </c>
      <c r="H52" s="17" t="n">
        <f aca="false">Параметры!$B$4</f>
        <v>10</v>
      </c>
      <c r="I52" s="10" t="n">
        <f aca="false">ROUNDUP(G52*H52*(1+Параметры!$B$6),0)</f>
        <v>22</v>
      </c>
      <c r="J52" s="11"/>
    </row>
    <row r="53" customFormat="false" ht="15" hidden="false" customHeight="false" outlineLevel="0" collapsed="false">
      <c r="A53" s="10" t="n">
        <v>2</v>
      </c>
      <c r="B53" s="10" t="n">
        <v>8</v>
      </c>
      <c r="C53" s="11" t="s">
        <v>89</v>
      </c>
      <c r="D53" s="11" t="s">
        <v>185</v>
      </c>
      <c r="E53" s="11" t="s">
        <v>140</v>
      </c>
      <c r="F53" s="10" t="s">
        <v>134</v>
      </c>
      <c r="G53" s="12" t="n">
        <v>2</v>
      </c>
      <c r="H53" s="17" t="n">
        <f aca="false">Параметры!$B$4</f>
        <v>10</v>
      </c>
      <c r="I53" s="10" t="n">
        <f aca="false">ROUNDUP(G53*H53*(1+Параметры!$B$6),0)</f>
        <v>22</v>
      </c>
      <c r="J53" s="11"/>
    </row>
    <row r="54" customFormat="false" ht="15" hidden="false" customHeight="false" outlineLevel="0" collapsed="false">
      <c r="A54" s="10" t="n">
        <v>2</v>
      </c>
      <c r="B54" s="10" t="n">
        <v>8</v>
      </c>
      <c r="C54" s="11" t="s">
        <v>89</v>
      </c>
      <c r="D54" s="11" t="s">
        <v>168</v>
      </c>
      <c r="E54" s="11" t="s">
        <v>140</v>
      </c>
      <c r="F54" s="10" t="s">
        <v>134</v>
      </c>
      <c r="G54" s="12" t="n">
        <v>1</v>
      </c>
      <c r="H54" s="17" t="n">
        <f aca="false">Параметры!$B$4</f>
        <v>10</v>
      </c>
      <c r="I54" s="10" t="n">
        <f aca="false">ROUNDUP(G54*H54*(1+Параметры!$B$6),0)</f>
        <v>11</v>
      </c>
      <c r="J54" s="11"/>
    </row>
    <row r="55" customFormat="false" ht="15" hidden="false" customHeight="false" outlineLevel="0" collapsed="false">
      <c r="A55" s="10" t="n">
        <v>2</v>
      </c>
      <c r="B55" s="10" t="n">
        <v>8</v>
      </c>
      <c r="C55" s="11" t="s">
        <v>89</v>
      </c>
      <c r="D55" s="11" t="s">
        <v>186</v>
      </c>
      <c r="E55" s="11" t="s">
        <v>145</v>
      </c>
      <c r="F55" s="10" t="s">
        <v>134</v>
      </c>
      <c r="G55" s="12" t="n">
        <v>1</v>
      </c>
      <c r="H55" s="17" t="n">
        <f aca="false">Параметры!$B$4</f>
        <v>10</v>
      </c>
      <c r="I55" s="10" t="n">
        <f aca="false">ROUNDUP(G55*H55*(1+Параметры!$B$6),0)</f>
        <v>11</v>
      </c>
      <c r="J55" s="11" t="s">
        <v>187</v>
      </c>
    </row>
    <row r="56" customFormat="false" ht="15" hidden="false" customHeight="false" outlineLevel="0" collapsed="false">
      <c r="A56" s="10" t="n">
        <v>2</v>
      </c>
      <c r="B56" s="10" t="n">
        <v>8</v>
      </c>
      <c r="C56" s="11" t="s">
        <v>89</v>
      </c>
      <c r="D56" s="11" t="s">
        <v>161</v>
      </c>
      <c r="E56" s="11" t="s">
        <v>145</v>
      </c>
      <c r="F56" s="10" t="s">
        <v>134</v>
      </c>
      <c r="G56" s="12" t="n">
        <v>1</v>
      </c>
      <c r="H56" s="17" t="n">
        <f aca="false">Параметры!$B$4</f>
        <v>10</v>
      </c>
      <c r="I56" s="10" t="n">
        <f aca="false">ROUNDUP(G56*H56*(1+Параметры!$B$6),0)</f>
        <v>11</v>
      </c>
      <c r="J56" s="11"/>
    </row>
    <row r="57" customFormat="false" ht="15" hidden="false" customHeight="false" outlineLevel="0" collapsed="false">
      <c r="A57" s="10" t="n">
        <v>2</v>
      </c>
      <c r="B57" s="10" t="n">
        <v>8</v>
      </c>
      <c r="C57" s="11" t="s">
        <v>89</v>
      </c>
      <c r="D57" s="11" t="s">
        <v>146</v>
      </c>
      <c r="E57" s="11" t="s">
        <v>145</v>
      </c>
      <c r="F57" s="10" t="s">
        <v>147</v>
      </c>
      <c r="G57" s="12" t="n">
        <v>3</v>
      </c>
      <c r="H57" s="17" t="n">
        <f aca="false">Параметры!$B$4</f>
        <v>10</v>
      </c>
      <c r="I57" s="10" t="n">
        <f aca="false">ROUNDUP(G57*H57*(1+Параметры!$B$6),0)</f>
        <v>33</v>
      </c>
      <c r="J57" s="11" t="s">
        <v>148</v>
      </c>
    </row>
    <row r="58" customFormat="false" ht="23.85" hidden="false" customHeight="false" outlineLevel="0" collapsed="false">
      <c r="A58" s="10" t="n">
        <v>2</v>
      </c>
      <c r="B58" s="10" t="n">
        <v>9</v>
      </c>
      <c r="C58" s="11" t="s">
        <v>97</v>
      </c>
      <c r="D58" s="11" t="s">
        <v>188</v>
      </c>
      <c r="E58" s="11" t="s">
        <v>133</v>
      </c>
      <c r="F58" s="10" t="s">
        <v>134</v>
      </c>
      <c r="G58" s="12" t="n">
        <v>1</v>
      </c>
      <c r="H58" s="17" t="n">
        <f aca="false">Параметры!$B$4</f>
        <v>10</v>
      </c>
      <c r="I58" s="10" t="n">
        <f aca="false">ROUNDUP(G58*H58*(1+Параметры!$B$6),0)</f>
        <v>11</v>
      </c>
      <c r="J58" s="11"/>
    </row>
    <row r="59" customFormat="false" ht="23.85" hidden="false" customHeight="false" outlineLevel="0" collapsed="false">
      <c r="A59" s="10" t="n">
        <v>2</v>
      </c>
      <c r="B59" s="10" t="n">
        <v>9</v>
      </c>
      <c r="C59" s="11" t="s">
        <v>97</v>
      </c>
      <c r="D59" s="11" t="s">
        <v>189</v>
      </c>
      <c r="E59" s="11" t="s">
        <v>145</v>
      </c>
      <c r="F59" s="10" t="s">
        <v>190</v>
      </c>
      <c r="G59" s="12" t="n">
        <v>1</v>
      </c>
      <c r="H59" s="17" t="n">
        <f aca="false">Параметры!$B$4</f>
        <v>10</v>
      </c>
      <c r="I59" s="10" t="n">
        <f aca="false">ROUNDUP(G59*H59*(1+Параметры!$B$6),0)</f>
        <v>11</v>
      </c>
      <c r="J59" s="11" t="s">
        <v>141</v>
      </c>
    </row>
    <row r="60" customFormat="false" ht="23.85" hidden="false" customHeight="false" outlineLevel="0" collapsed="false">
      <c r="A60" s="10" t="n">
        <v>2</v>
      </c>
      <c r="B60" s="10" t="n">
        <v>9</v>
      </c>
      <c r="C60" s="11" t="s">
        <v>97</v>
      </c>
      <c r="D60" s="11" t="s">
        <v>168</v>
      </c>
      <c r="E60" s="11" t="s">
        <v>140</v>
      </c>
      <c r="F60" s="10" t="s">
        <v>134</v>
      </c>
      <c r="G60" s="12" t="n">
        <v>1</v>
      </c>
      <c r="H60" s="17" t="n">
        <f aca="false">Параметры!$B$4</f>
        <v>10</v>
      </c>
      <c r="I60" s="10" t="n">
        <f aca="false">ROUNDUP(G60*H60*(1+Параметры!$B$6),0)</f>
        <v>11</v>
      </c>
      <c r="J60" s="11" t="s">
        <v>141</v>
      </c>
    </row>
    <row r="61" customFormat="false" ht="23.85" hidden="false" customHeight="false" outlineLevel="0" collapsed="false">
      <c r="A61" s="10" t="n">
        <v>2</v>
      </c>
      <c r="B61" s="10" t="n">
        <v>9</v>
      </c>
      <c r="C61" s="11" t="s">
        <v>97</v>
      </c>
      <c r="D61" s="11" t="s">
        <v>169</v>
      </c>
      <c r="E61" s="11" t="s">
        <v>140</v>
      </c>
      <c r="F61" s="10" t="s">
        <v>134</v>
      </c>
      <c r="G61" s="12" t="n">
        <v>1</v>
      </c>
      <c r="H61" s="17" t="n">
        <f aca="false">Параметры!$B$4</f>
        <v>10</v>
      </c>
      <c r="I61" s="10" t="n">
        <f aca="false">ROUNDUP(G61*H61*(1+Параметры!$B$6),0)</f>
        <v>11</v>
      </c>
      <c r="J61" s="11" t="s">
        <v>141</v>
      </c>
    </row>
    <row r="62" customFormat="false" ht="23.85" hidden="false" customHeight="false" outlineLevel="0" collapsed="false">
      <c r="A62" s="10" t="n">
        <v>2</v>
      </c>
      <c r="B62" s="10" t="n">
        <v>9</v>
      </c>
      <c r="C62" s="11" t="s">
        <v>97</v>
      </c>
      <c r="D62" s="11" t="s">
        <v>161</v>
      </c>
      <c r="E62" s="11" t="s">
        <v>145</v>
      </c>
      <c r="F62" s="10" t="s">
        <v>134</v>
      </c>
      <c r="G62" s="12" t="n">
        <v>1</v>
      </c>
      <c r="H62" s="17" t="n">
        <f aca="false">Параметры!$B$4</f>
        <v>10</v>
      </c>
      <c r="I62" s="10" t="n">
        <f aca="false">ROUNDUP(G62*H62*(1+Параметры!$B$6),0)</f>
        <v>11</v>
      </c>
      <c r="J62" s="11"/>
    </row>
    <row r="63" customFormat="false" ht="23.85" hidden="false" customHeight="false" outlineLevel="0" collapsed="false">
      <c r="A63" s="10" t="n">
        <v>2</v>
      </c>
      <c r="B63" s="10" t="n">
        <v>9</v>
      </c>
      <c r="C63" s="11" t="s">
        <v>97</v>
      </c>
      <c r="D63" s="11" t="s">
        <v>170</v>
      </c>
      <c r="E63" s="11" t="s">
        <v>145</v>
      </c>
      <c r="F63" s="10" t="s">
        <v>134</v>
      </c>
      <c r="G63" s="12" t="n">
        <v>1</v>
      </c>
      <c r="H63" s="17" t="n">
        <f aca="false">Параметры!$B$4</f>
        <v>10</v>
      </c>
      <c r="I63" s="10" t="n">
        <f aca="false">ROUNDUP(G63*H63*(1+Параметры!$B$6),0)</f>
        <v>11</v>
      </c>
      <c r="J63" s="11"/>
    </row>
    <row r="64" customFormat="false" ht="23.85" hidden="false" customHeight="false" outlineLevel="0" collapsed="false">
      <c r="A64" s="10" t="n">
        <v>2</v>
      </c>
      <c r="B64" s="10" t="n">
        <v>9</v>
      </c>
      <c r="C64" s="11" t="s">
        <v>97</v>
      </c>
      <c r="D64" s="11" t="s">
        <v>171</v>
      </c>
      <c r="E64" s="11" t="s">
        <v>145</v>
      </c>
      <c r="F64" s="10" t="s">
        <v>134</v>
      </c>
      <c r="G64" s="12" t="n">
        <v>1</v>
      </c>
      <c r="H64" s="17" t="n">
        <f aca="false">Параметры!$B$4</f>
        <v>10</v>
      </c>
      <c r="I64" s="10" t="n">
        <f aca="false">ROUNDUP(G64*H64*(1+Параметры!$B$6),0)</f>
        <v>11</v>
      </c>
      <c r="J64" s="11"/>
    </row>
    <row r="65" customFormat="false" ht="23.85" hidden="false" customHeight="false" outlineLevel="0" collapsed="false">
      <c r="A65" s="10" t="n">
        <v>2</v>
      </c>
      <c r="B65" s="10" t="n">
        <v>9</v>
      </c>
      <c r="C65" s="11" t="s">
        <v>97</v>
      </c>
      <c r="D65" s="11" t="s">
        <v>146</v>
      </c>
      <c r="E65" s="11" t="s">
        <v>145</v>
      </c>
      <c r="F65" s="10" t="s">
        <v>147</v>
      </c>
      <c r="G65" s="12" t="n">
        <v>3</v>
      </c>
      <c r="H65" s="17" t="n">
        <f aca="false">Параметры!$B$4</f>
        <v>10</v>
      </c>
      <c r="I65" s="10" t="n">
        <f aca="false">ROUNDUP(G65*H65*(1+Параметры!$B$6),0)</f>
        <v>33</v>
      </c>
      <c r="J65" s="11" t="s">
        <v>148</v>
      </c>
    </row>
    <row r="66" customFormat="false" ht="15" hidden="false" customHeight="false" outlineLevel="0" collapsed="false">
      <c r="A66" s="10" t="n">
        <v>2</v>
      </c>
      <c r="B66" s="10" t="n">
        <v>10</v>
      </c>
      <c r="C66" s="11" t="s">
        <v>102</v>
      </c>
      <c r="D66" s="11" t="s">
        <v>191</v>
      </c>
      <c r="E66" s="11" t="s">
        <v>133</v>
      </c>
      <c r="F66" s="10" t="s">
        <v>134</v>
      </c>
      <c r="G66" s="12" t="n">
        <v>2</v>
      </c>
      <c r="H66" s="17" t="n">
        <f aca="false">Параметры!$B$4</f>
        <v>10</v>
      </c>
      <c r="I66" s="10" t="n">
        <f aca="false">ROUNDUP(G66*H66*(1+Параметры!$B$6),0)</f>
        <v>22</v>
      </c>
      <c r="J66" s="11" t="s">
        <v>192</v>
      </c>
    </row>
    <row r="67" customFormat="false" ht="15" hidden="false" customHeight="false" outlineLevel="0" collapsed="false">
      <c r="A67" s="10" t="n">
        <v>2</v>
      </c>
      <c r="B67" s="10" t="n">
        <v>10</v>
      </c>
      <c r="C67" s="11" t="s">
        <v>102</v>
      </c>
      <c r="D67" s="11" t="s">
        <v>193</v>
      </c>
      <c r="E67" s="11" t="s">
        <v>133</v>
      </c>
      <c r="F67" s="10" t="s">
        <v>134</v>
      </c>
      <c r="G67" s="12" t="n">
        <v>1</v>
      </c>
      <c r="H67" s="17" t="n">
        <f aca="false">Параметры!$B$4</f>
        <v>10</v>
      </c>
      <c r="I67" s="10" t="n">
        <f aca="false">ROUNDUP(G67*H67*(1+Параметры!$B$6),0)</f>
        <v>11</v>
      </c>
      <c r="J67" s="11"/>
    </row>
    <row r="68" customFormat="false" ht="15" hidden="false" customHeight="false" outlineLevel="0" collapsed="false">
      <c r="A68" s="10" t="n">
        <v>2</v>
      </c>
      <c r="B68" s="10" t="n">
        <v>10</v>
      </c>
      <c r="C68" s="11" t="s">
        <v>102</v>
      </c>
      <c r="D68" s="11" t="s">
        <v>194</v>
      </c>
      <c r="E68" s="11" t="s">
        <v>140</v>
      </c>
      <c r="F68" s="10" t="s">
        <v>134</v>
      </c>
      <c r="G68" s="12" t="n">
        <v>2</v>
      </c>
      <c r="H68" s="17" t="n">
        <f aca="false">Параметры!$B$4</f>
        <v>10</v>
      </c>
      <c r="I68" s="10" t="n">
        <f aca="false">ROUNDUP(G68*H68*(1+Параметры!$B$6),0)</f>
        <v>22</v>
      </c>
      <c r="J68" s="11" t="s">
        <v>141</v>
      </c>
    </row>
    <row r="69" customFormat="false" ht="15" hidden="false" customHeight="false" outlineLevel="0" collapsed="false">
      <c r="A69" s="10" t="n">
        <v>2</v>
      </c>
      <c r="B69" s="10" t="n">
        <v>10</v>
      </c>
      <c r="C69" s="11" t="s">
        <v>102</v>
      </c>
      <c r="D69" s="11" t="s">
        <v>195</v>
      </c>
      <c r="E69" s="11" t="s">
        <v>140</v>
      </c>
      <c r="F69" s="10" t="s">
        <v>134</v>
      </c>
      <c r="G69" s="12" t="n">
        <v>1</v>
      </c>
      <c r="H69" s="17" t="n">
        <f aca="false">Параметры!$B$4</f>
        <v>10</v>
      </c>
      <c r="I69" s="10" t="n">
        <f aca="false">ROUNDUP(G69*H69*(1+Параметры!$B$6),0)</f>
        <v>11</v>
      </c>
      <c r="J69" s="11" t="s">
        <v>141</v>
      </c>
    </row>
    <row r="70" customFormat="false" ht="15" hidden="false" customHeight="false" outlineLevel="0" collapsed="false">
      <c r="A70" s="10" t="n">
        <v>2</v>
      </c>
      <c r="B70" s="10" t="n">
        <v>10</v>
      </c>
      <c r="C70" s="11" t="s">
        <v>102</v>
      </c>
      <c r="D70" s="11" t="s">
        <v>196</v>
      </c>
      <c r="E70" s="11" t="s">
        <v>145</v>
      </c>
      <c r="F70" s="10" t="s">
        <v>134</v>
      </c>
      <c r="G70" s="12" t="n">
        <v>1</v>
      </c>
      <c r="H70" s="17" t="n">
        <f aca="false">Параметры!$B$4</f>
        <v>10</v>
      </c>
      <c r="I70" s="10" t="n">
        <f aca="false">ROUNDUP(G70*H70*(1+Параметры!$B$6),0)</f>
        <v>11</v>
      </c>
      <c r="J70" s="11"/>
    </row>
    <row r="71" customFormat="false" ht="15" hidden="false" customHeight="false" outlineLevel="0" collapsed="false">
      <c r="A71" s="10" t="n">
        <v>2</v>
      </c>
      <c r="B71" s="10" t="n">
        <v>10</v>
      </c>
      <c r="C71" s="11" t="s">
        <v>102</v>
      </c>
      <c r="D71" s="11" t="s">
        <v>146</v>
      </c>
      <c r="E71" s="11" t="s">
        <v>145</v>
      </c>
      <c r="F71" s="10" t="s">
        <v>147</v>
      </c>
      <c r="G71" s="12" t="n">
        <v>3</v>
      </c>
      <c r="H71" s="17" t="n">
        <f aca="false">Параметры!$B$4</f>
        <v>10</v>
      </c>
      <c r="I71" s="10" t="n">
        <f aca="false">ROUNDUP(G71*H71*(1+Параметры!$B$6),0)</f>
        <v>33</v>
      </c>
      <c r="J71" s="11" t="s">
        <v>148</v>
      </c>
    </row>
    <row r="72" customFormat="false" ht="46.25" hidden="false" customHeight="false" outlineLevel="0" collapsed="false">
      <c r="A72" s="10" t="n">
        <v>3</v>
      </c>
      <c r="B72" s="10" t="n">
        <v>11</v>
      </c>
      <c r="C72" s="11" t="s">
        <v>112</v>
      </c>
      <c r="D72" s="11" t="s">
        <v>197</v>
      </c>
      <c r="E72" s="11" t="s">
        <v>133</v>
      </c>
      <c r="F72" s="10" t="s">
        <v>134</v>
      </c>
      <c r="G72" s="12" t="n">
        <v>1</v>
      </c>
      <c r="H72" s="17" t="n">
        <f aca="false">Параметры!$B$5</f>
        <v>3</v>
      </c>
      <c r="I72" s="10" t="n">
        <f aca="false">ROUNDUP(G72*H72*(1+Параметры!$B$6),0)</f>
        <v>4</v>
      </c>
      <c r="J72" s="11" t="s">
        <v>198</v>
      </c>
    </row>
    <row r="73" customFormat="false" ht="46.25" hidden="false" customHeight="false" outlineLevel="0" collapsed="false">
      <c r="A73" s="10" t="n">
        <v>3</v>
      </c>
      <c r="B73" s="10" t="n">
        <v>11</v>
      </c>
      <c r="C73" s="11" t="s">
        <v>112</v>
      </c>
      <c r="D73" s="11" t="s">
        <v>199</v>
      </c>
      <c r="E73" s="11" t="s">
        <v>140</v>
      </c>
      <c r="F73" s="10" t="s">
        <v>134</v>
      </c>
      <c r="G73" s="12" t="n">
        <v>5</v>
      </c>
      <c r="H73" s="17" t="n">
        <f aca="false">Параметры!$B$5</f>
        <v>3</v>
      </c>
      <c r="I73" s="10" t="n">
        <f aca="false">ROUNDUP(G73*H73*(1+Параметры!$B$6),0)</f>
        <v>17</v>
      </c>
      <c r="J73" s="11"/>
    </row>
    <row r="74" customFormat="false" ht="46.25" hidden="false" customHeight="false" outlineLevel="0" collapsed="false">
      <c r="A74" s="10" t="n">
        <v>3</v>
      </c>
      <c r="B74" s="10" t="n">
        <v>11</v>
      </c>
      <c r="C74" s="11" t="s">
        <v>112</v>
      </c>
      <c r="D74" s="11" t="s">
        <v>200</v>
      </c>
      <c r="E74" s="11" t="s">
        <v>140</v>
      </c>
      <c r="F74" s="10" t="s">
        <v>134</v>
      </c>
      <c r="G74" s="12" t="n">
        <v>5</v>
      </c>
      <c r="H74" s="17" t="n">
        <f aca="false">Параметры!$B$5</f>
        <v>3</v>
      </c>
      <c r="I74" s="10" t="n">
        <f aca="false">ROUNDUP(G74*H74*(1+Параметры!$B$6),0)</f>
        <v>17</v>
      </c>
      <c r="J74" s="11"/>
    </row>
    <row r="75" customFormat="false" ht="46.25" hidden="false" customHeight="false" outlineLevel="0" collapsed="false">
      <c r="A75" s="10" t="n">
        <v>3</v>
      </c>
      <c r="B75" s="10" t="n">
        <v>11</v>
      </c>
      <c r="C75" s="11" t="s">
        <v>112</v>
      </c>
      <c r="D75" s="11" t="s">
        <v>201</v>
      </c>
      <c r="E75" s="11" t="s">
        <v>145</v>
      </c>
      <c r="F75" s="10" t="s">
        <v>202</v>
      </c>
      <c r="G75" s="12" t="n">
        <v>2</v>
      </c>
      <c r="H75" s="17" t="n">
        <f aca="false">Параметры!$B$5</f>
        <v>3</v>
      </c>
      <c r="I75" s="10" t="n">
        <f aca="false">ROUNDUP(G75*H75*(1+Параметры!$B$6),0)</f>
        <v>7</v>
      </c>
      <c r="J75" s="11" t="s">
        <v>141</v>
      </c>
    </row>
    <row r="76" customFormat="false" ht="46.25" hidden="false" customHeight="false" outlineLevel="0" collapsed="false">
      <c r="A76" s="10" t="n">
        <v>3</v>
      </c>
      <c r="B76" s="10" t="n">
        <v>11</v>
      </c>
      <c r="C76" s="11" t="s">
        <v>112</v>
      </c>
      <c r="D76" s="11" t="s">
        <v>203</v>
      </c>
      <c r="E76" s="11" t="s">
        <v>145</v>
      </c>
      <c r="F76" s="10" t="s">
        <v>204</v>
      </c>
      <c r="G76" s="12" t="n">
        <v>1</v>
      </c>
      <c r="H76" s="17" t="n">
        <f aca="false">Параметры!$B$5</f>
        <v>3</v>
      </c>
      <c r="I76" s="10" t="n">
        <f aca="false">ROUNDUP(G76*H76*(1+Параметры!$B$6),0)</f>
        <v>4</v>
      </c>
      <c r="J76" s="11" t="s">
        <v>141</v>
      </c>
    </row>
    <row r="77" customFormat="false" ht="46.25" hidden="false" customHeight="false" outlineLevel="0" collapsed="false">
      <c r="A77" s="10" t="n">
        <v>3</v>
      </c>
      <c r="B77" s="10" t="n">
        <v>11</v>
      </c>
      <c r="C77" s="11" t="s">
        <v>112</v>
      </c>
      <c r="D77" s="11" t="s">
        <v>180</v>
      </c>
      <c r="E77" s="11" t="s">
        <v>145</v>
      </c>
      <c r="F77" s="10" t="s">
        <v>134</v>
      </c>
      <c r="G77" s="12" t="n">
        <v>2</v>
      </c>
      <c r="H77" s="17" t="n">
        <f aca="false">Параметры!$B$5</f>
        <v>3</v>
      </c>
      <c r="I77" s="10" t="n">
        <f aca="false">ROUNDUP(G77*H77*(1+Параметры!$B$6),0)</f>
        <v>7</v>
      </c>
      <c r="J77" s="11" t="s">
        <v>141</v>
      </c>
    </row>
    <row r="78" customFormat="false" ht="46.25" hidden="false" customHeight="false" outlineLevel="0" collapsed="false">
      <c r="A78" s="10" t="n">
        <v>3</v>
      </c>
      <c r="B78" s="10" t="n">
        <v>11</v>
      </c>
      <c r="C78" s="11" t="s">
        <v>112</v>
      </c>
      <c r="D78" s="11" t="s">
        <v>205</v>
      </c>
      <c r="E78" s="11" t="s">
        <v>145</v>
      </c>
      <c r="F78" s="10" t="s">
        <v>134</v>
      </c>
      <c r="G78" s="12" t="n">
        <v>3</v>
      </c>
      <c r="H78" s="17" t="n">
        <f aca="false">Параметры!$B$5</f>
        <v>3</v>
      </c>
      <c r="I78" s="10" t="n">
        <f aca="false">ROUNDUP(G78*H78*(1+Параметры!$B$6),0)</f>
        <v>10</v>
      </c>
      <c r="J78" s="11"/>
    </row>
    <row r="79" customFormat="false" ht="46.25" hidden="false" customHeight="false" outlineLevel="0" collapsed="false">
      <c r="A79" s="10" t="n">
        <v>3</v>
      </c>
      <c r="B79" s="10" t="n">
        <v>11</v>
      </c>
      <c r="C79" s="11" t="s">
        <v>112</v>
      </c>
      <c r="D79" s="11" t="s">
        <v>206</v>
      </c>
      <c r="E79" s="11" t="s">
        <v>145</v>
      </c>
      <c r="F79" s="10" t="s">
        <v>147</v>
      </c>
      <c r="G79" s="12" t="n">
        <v>3</v>
      </c>
      <c r="H79" s="17" t="n">
        <f aca="false">Параметры!$B$5</f>
        <v>3</v>
      </c>
      <c r="I79" s="10" t="n">
        <f aca="false">ROUNDUP(G79*H79*(1+Параметры!$B$6),0)</f>
        <v>10</v>
      </c>
      <c r="J79" s="11"/>
    </row>
    <row r="80" customFormat="false" ht="46.25" hidden="false" customHeight="false" outlineLevel="0" collapsed="false">
      <c r="A80" s="10" t="n">
        <v>3</v>
      </c>
      <c r="B80" s="10" t="n">
        <v>11</v>
      </c>
      <c r="C80" s="11" t="s">
        <v>112</v>
      </c>
      <c r="D80" s="11" t="s">
        <v>146</v>
      </c>
      <c r="E80" s="11" t="s">
        <v>145</v>
      </c>
      <c r="F80" s="10" t="s">
        <v>147</v>
      </c>
      <c r="G80" s="12" t="n">
        <v>4</v>
      </c>
      <c r="H80" s="17" t="n">
        <f aca="false">Параметры!$B$5</f>
        <v>3</v>
      </c>
      <c r="I80" s="10" t="n">
        <f aca="false">ROUNDUP(G80*H80*(1+Параметры!$B$6),0)</f>
        <v>14</v>
      </c>
      <c r="J80" s="11" t="s">
        <v>207</v>
      </c>
    </row>
    <row r="81" customFormat="false" ht="46.25" hidden="false" customHeight="false" outlineLevel="0" collapsed="false">
      <c r="A81" s="10" t="n">
        <v>3</v>
      </c>
      <c r="B81" s="10" t="n">
        <v>11</v>
      </c>
      <c r="C81" s="11" t="s">
        <v>112</v>
      </c>
      <c r="D81" s="11" t="s">
        <v>208</v>
      </c>
      <c r="E81" s="11" t="s">
        <v>145</v>
      </c>
      <c r="F81" s="10" t="s">
        <v>134</v>
      </c>
      <c r="G81" s="12" t="n">
        <v>4</v>
      </c>
      <c r="H81" s="17" t="n">
        <f aca="false">Параметры!$B$5</f>
        <v>3</v>
      </c>
      <c r="I81" s="10" t="n">
        <f aca="false">ROUNDUP(G81*H81*(1+Параметры!$B$6),0)</f>
        <v>14</v>
      </c>
      <c r="J81" s="11" t="s">
        <v>209</v>
      </c>
    </row>
    <row r="82" customFormat="false" ht="46.25" hidden="false" customHeight="false" outlineLevel="0" collapsed="false">
      <c r="A82" s="10" t="n">
        <v>3</v>
      </c>
      <c r="B82" s="10" t="n">
        <v>11</v>
      </c>
      <c r="C82" s="11" t="s">
        <v>112</v>
      </c>
      <c r="D82" s="11" t="s">
        <v>210</v>
      </c>
      <c r="E82" s="11" t="s">
        <v>145</v>
      </c>
      <c r="F82" s="10" t="s">
        <v>134</v>
      </c>
      <c r="G82" s="12" t="n">
        <v>4</v>
      </c>
      <c r="H82" s="17" t="n">
        <f aca="false">Параметры!$B$5</f>
        <v>3</v>
      </c>
      <c r="I82" s="10" t="n">
        <f aca="false">ROUNDUP(G82*H82*(1+Параметры!$B$6),0)</f>
        <v>14</v>
      </c>
      <c r="J82" s="11" t="s">
        <v>209</v>
      </c>
    </row>
    <row r="83" customFormat="false" ht="46.25" hidden="false" customHeight="false" outlineLevel="0" collapsed="false">
      <c r="A83" s="10" t="n">
        <v>3</v>
      </c>
      <c r="B83" s="10" t="n">
        <v>11</v>
      </c>
      <c r="C83" s="11" t="s">
        <v>112</v>
      </c>
      <c r="D83" s="11" t="s">
        <v>211</v>
      </c>
      <c r="E83" s="11" t="s">
        <v>145</v>
      </c>
      <c r="F83" s="10" t="s">
        <v>134</v>
      </c>
      <c r="G83" s="12" t="n">
        <v>1</v>
      </c>
      <c r="H83" s="17" t="n">
        <f aca="false">Параметры!$B$5</f>
        <v>3</v>
      </c>
      <c r="I83" s="10" t="n">
        <f aca="false">ROUNDUP(G83*H83*(1+Параметры!$B$6),0)</f>
        <v>4</v>
      </c>
      <c r="J83" s="11"/>
    </row>
    <row r="84" customFormat="false" ht="46.25" hidden="false" customHeight="false" outlineLevel="0" collapsed="false">
      <c r="A84" s="10" t="n">
        <v>3</v>
      </c>
      <c r="B84" s="10" t="n">
        <v>11</v>
      </c>
      <c r="C84" s="11" t="s">
        <v>112</v>
      </c>
      <c r="D84" s="11" t="s">
        <v>212</v>
      </c>
      <c r="E84" s="11" t="s">
        <v>145</v>
      </c>
      <c r="F84" s="10" t="s">
        <v>213</v>
      </c>
      <c r="G84" s="12" t="n">
        <v>1</v>
      </c>
      <c r="H84" s="17" t="n">
        <f aca="false">Параметры!$B$5</f>
        <v>3</v>
      </c>
      <c r="I84" s="10" t="n">
        <f aca="false">ROUNDUP(G84*H84*(1+Параметры!$B$6),0)</f>
        <v>4</v>
      </c>
      <c r="J84" s="11" t="s">
        <v>141</v>
      </c>
    </row>
    <row r="85" customFormat="false" ht="46.25" hidden="false" customHeight="false" outlineLevel="0" collapsed="false">
      <c r="A85" s="10" t="n">
        <v>3</v>
      </c>
      <c r="B85" s="10" t="n">
        <v>11</v>
      </c>
      <c r="C85" s="11" t="s">
        <v>112</v>
      </c>
      <c r="D85" s="11" t="s">
        <v>214</v>
      </c>
      <c r="E85" s="11" t="s">
        <v>145</v>
      </c>
      <c r="F85" s="10" t="s">
        <v>134</v>
      </c>
      <c r="G85" s="12" t="n">
        <v>4</v>
      </c>
      <c r="H85" s="17" t="n">
        <f aca="false">Параметры!$B$5</f>
        <v>3</v>
      </c>
      <c r="I85" s="10" t="n">
        <f aca="false">ROUNDUP(G85*H85*(1+Параметры!$B$6),0)</f>
        <v>14</v>
      </c>
      <c r="J85" s="11" t="s">
        <v>215</v>
      </c>
    </row>
    <row r="86" customFormat="false" ht="46.25" hidden="false" customHeight="false" outlineLevel="0" collapsed="false">
      <c r="A86" s="10" t="n">
        <v>3</v>
      </c>
      <c r="B86" s="10" t="n">
        <v>11</v>
      </c>
      <c r="C86" s="11" t="s">
        <v>112</v>
      </c>
      <c r="D86" s="11" t="s">
        <v>216</v>
      </c>
      <c r="E86" s="11" t="s">
        <v>136</v>
      </c>
      <c r="F86" s="10" t="s">
        <v>134</v>
      </c>
      <c r="G86" s="12" t="n">
        <v>1</v>
      </c>
      <c r="H86" s="17" t="n">
        <f aca="false">Параметры!$B$5</f>
        <v>3</v>
      </c>
      <c r="I86" s="10" t="n">
        <f aca="false">ROUNDUP(G86*H86*(1+Параметры!$B$6),0)</f>
        <v>4</v>
      </c>
      <c r="J86" s="11" t="s">
        <v>217</v>
      </c>
    </row>
    <row r="87" customFormat="false" ht="46.25" hidden="false" customHeight="false" outlineLevel="0" collapsed="false">
      <c r="A87" s="10" t="n">
        <v>3</v>
      </c>
      <c r="B87" s="10" t="n">
        <v>11</v>
      </c>
      <c r="C87" s="11" t="s">
        <v>112</v>
      </c>
      <c r="D87" s="11" t="s">
        <v>218</v>
      </c>
      <c r="E87" s="11" t="s">
        <v>145</v>
      </c>
      <c r="F87" s="10" t="s">
        <v>134</v>
      </c>
      <c r="G87" s="12" t="n">
        <v>1</v>
      </c>
      <c r="H87" s="17" t="n">
        <f aca="false">Параметры!$B$5</f>
        <v>3</v>
      </c>
      <c r="I87" s="10" t="n">
        <f aca="false">ROUNDUP(G87*H87*(1+Параметры!$B$6),0)</f>
        <v>4</v>
      </c>
      <c r="J87" s="11"/>
    </row>
    <row r="88" customFormat="false" ht="46.25" hidden="false" customHeight="false" outlineLevel="0" collapsed="false">
      <c r="A88" s="10" t="n">
        <v>3</v>
      </c>
      <c r="B88" s="10" t="n">
        <v>11</v>
      </c>
      <c r="C88" s="11" t="s">
        <v>112</v>
      </c>
      <c r="D88" s="11" t="s">
        <v>161</v>
      </c>
      <c r="E88" s="11" t="s">
        <v>145</v>
      </c>
      <c r="F88" s="10" t="s">
        <v>134</v>
      </c>
      <c r="G88" s="12" t="n">
        <v>1</v>
      </c>
      <c r="H88" s="17" t="n">
        <f aca="false">Параметры!$B$5</f>
        <v>3</v>
      </c>
      <c r="I88" s="10" t="n">
        <f aca="false">ROUNDUP(G88*H88*(1+Параметры!$B$6),0)</f>
        <v>4</v>
      </c>
      <c r="J88" s="11"/>
    </row>
    <row r="90" customFormat="false" ht="15" hidden="false" customHeight="false" outlineLevel="0" collapsed="false">
      <c r="A90" s="18" t="s">
        <v>219</v>
      </c>
      <c r="B90" s="19"/>
      <c r="C90" s="19"/>
      <c r="D90" s="19"/>
      <c r="E90" s="19"/>
      <c r="F90" s="19"/>
      <c r="G90" s="19"/>
      <c r="H90" s="19"/>
      <c r="I90" s="19"/>
      <c r="J90" s="19"/>
    </row>
    <row r="91" customFormat="false" ht="15" hidden="false" customHeight="false" outlineLevel="0" collapsed="false">
      <c r="A91" s="10" t="s">
        <v>63</v>
      </c>
      <c r="B91" s="10" t="s">
        <v>63</v>
      </c>
      <c r="C91" s="11" t="s">
        <v>220</v>
      </c>
      <c r="D91" s="11" t="s">
        <v>221</v>
      </c>
      <c r="E91" s="11" t="s">
        <v>222</v>
      </c>
      <c r="F91" s="10" t="s">
        <v>134</v>
      </c>
      <c r="G91" s="11"/>
      <c r="H91" s="11"/>
      <c r="I91" s="12" t="n">
        <v>6</v>
      </c>
      <c r="J91" s="11" t="s">
        <v>223</v>
      </c>
    </row>
    <row r="92" customFormat="false" ht="15" hidden="false" customHeight="false" outlineLevel="0" collapsed="false">
      <c r="A92" s="10" t="s">
        <v>63</v>
      </c>
      <c r="B92" s="10" t="s">
        <v>63</v>
      </c>
      <c r="C92" s="11" t="s">
        <v>220</v>
      </c>
      <c r="D92" s="11" t="s">
        <v>224</v>
      </c>
      <c r="E92" s="11" t="s">
        <v>222</v>
      </c>
      <c r="F92" s="10" t="s">
        <v>134</v>
      </c>
      <c r="G92" s="11"/>
      <c r="H92" s="11"/>
      <c r="I92" s="12" t="n">
        <v>30</v>
      </c>
      <c r="J92" s="11" t="s">
        <v>225</v>
      </c>
    </row>
    <row r="93" customFormat="false" ht="15" hidden="false" customHeight="false" outlineLevel="0" collapsed="false">
      <c r="A93" s="10" t="s">
        <v>63</v>
      </c>
      <c r="B93" s="10" t="s">
        <v>63</v>
      </c>
      <c r="C93" s="11" t="s">
        <v>220</v>
      </c>
      <c r="D93" s="11" t="s">
        <v>226</v>
      </c>
      <c r="E93" s="11" t="s">
        <v>222</v>
      </c>
      <c r="F93" s="10" t="s">
        <v>134</v>
      </c>
      <c r="G93" s="11"/>
      <c r="H93" s="11"/>
      <c r="I93" s="12" t="n">
        <v>80</v>
      </c>
      <c r="J93" s="11" t="s">
        <v>225</v>
      </c>
    </row>
    <row r="94" customFormat="false" ht="15" hidden="false" customHeight="false" outlineLevel="0" collapsed="false">
      <c r="A94" s="10" t="s">
        <v>63</v>
      </c>
      <c r="B94" s="10" t="s">
        <v>63</v>
      </c>
      <c r="C94" s="11" t="s">
        <v>220</v>
      </c>
      <c r="D94" s="11" t="s">
        <v>227</v>
      </c>
      <c r="E94" s="11" t="s">
        <v>222</v>
      </c>
      <c r="F94" s="10" t="s">
        <v>178</v>
      </c>
      <c r="G94" s="11"/>
      <c r="H94" s="11"/>
      <c r="I94" s="12" t="n">
        <v>10</v>
      </c>
      <c r="J94" s="11" t="s">
        <v>225</v>
      </c>
    </row>
    <row r="95" customFormat="false" ht="15" hidden="false" customHeight="false" outlineLevel="0" collapsed="false">
      <c r="A95" s="10" t="s">
        <v>63</v>
      </c>
      <c r="B95" s="10" t="s">
        <v>63</v>
      </c>
      <c r="C95" s="11" t="s">
        <v>220</v>
      </c>
      <c r="D95" s="11" t="s">
        <v>228</v>
      </c>
      <c r="E95" s="11" t="s">
        <v>222</v>
      </c>
      <c r="F95" s="10" t="s">
        <v>229</v>
      </c>
      <c r="G95" s="11"/>
      <c r="H95" s="11"/>
      <c r="I95" s="12" t="n">
        <v>3</v>
      </c>
      <c r="J95" s="11" t="s">
        <v>225</v>
      </c>
    </row>
    <row r="96" customFormat="false" ht="15" hidden="false" customHeight="false" outlineLevel="0" collapsed="false">
      <c r="A96" s="10" t="s">
        <v>63</v>
      </c>
      <c r="B96" s="10" t="s">
        <v>63</v>
      </c>
      <c r="C96" s="11" t="s">
        <v>220</v>
      </c>
      <c r="D96" s="11" t="s">
        <v>230</v>
      </c>
      <c r="E96" s="11" t="s">
        <v>222</v>
      </c>
      <c r="F96" s="10" t="s">
        <v>204</v>
      </c>
      <c r="G96" s="11"/>
      <c r="H96" s="11"/>
      <c r="I96" s="12" t="n">
        <v>6</v>
      </c>
      <c r="J96" s="11" t="s">
        <v>225</v>
      </c>
    </row>
    <row r="97" customFormat="false" ht="15" hidden="false" customHeight="false" outlineLevel="0" collapsed="false">
      <c r="A97" s="10" t="s">
        <v>63</v>
      </c>
      <c r="B97" s="10" t="s">
        <v>63</v>
      </c>
      <c r="C97" s="11" t="s">
        <v>220</v>
      </c>
      <c r="D97" s="11" t="s">
        <v>231</v>
      </c>
      <c r="E97" s="11" t="s">
        <v>222</v>
      </c>
      <c r="F97" s="10" t="s">
        <v>147</v>
      </c>
      <c r="G97" s="11"/>
      <c r="H97" s="11"/>
      <c r="I97" s="12" t="n">
        <v>150</v>
      </c>
      <c r="J97" s="11" t="s">
        <v>225</v>
      </c>
    </row>
    <row r="98" customFormat="false" ht="15" hidden="false" customHeight="false" outlineLevel="0" collapsed="false">
      <c r="A98" s="10" t="s">
        <v>63</v>
      </c>
      <c r="B98" s="10" t="s">
        <v>63</v>
      </c>
      <c r="C98" s="11" t="s">
        <v>220</v>
      </c>
      <c r="D98" s="11" t="s">
        <v>232</v>
      </c>
      <c r="E98" s="11" t="s">
        <v>222</v>
      </c>
      <c r="F98" s="10" t="s">
        <v>134</v>
      </c>
      <c r="G98" s="11"/>
      <c r="H98" s="11"/>
      <c r="I98" s="12" t="n">
        <v>1</v>
      </c>
      <c r="J98" s="11"/>
    </row>
    <row r="99" customFormat="false" ht="15" hidden="false" customHeight="false" outlineLevel="0" collapsed="false">
      <c r="A99" s="10" t="s">
        <v>63</v>
      </c>
      <c r="B99" s="10" t="s">
        <v>63</v>
      </c>
      <c r="C99" s="11" t="s">
        <v>220</v>
      </c>
      <c r="D99" s="11" t="s">
        <v>233</v>
      </c>
      <c r="E99" s="11" t="s">
        <v>222</v>
      </c>
      <c r="F99" s="10" t="s">
        <v>134</v>
      </c>
      <c r="G99" s="11"/>
      <c r="H99" s="11"/>
      <c r="I99" s="12" t="n">
        <v>10</v>
      </c>
      <c r="J99" s="11" t="s">
        <v>234</v>
      </c>
    </row>
  </sheetData>
  <autoFilter ref="A3:J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235</v>
      </c>
    </row>
    <row r="3" customFormat="false" ht="15" hidden="false" customHeight="false" outlineLevel="0" collapsed="false">
      <c r="A3" s="8" t="s">
        <v>126</v>
      </c>
      <c r="B3" s="8" t="s">
        <v>127</v>
      </c>
      <c r="C3" s="8" t="s">
        <v>128</v>
      </c>
      <c r="D3" s="8" t="s">
        <v>236</v>
      </c>
      <c r="E3" s="8" t="s">
        <v>237</v>
      </c>
      <c r="F3" s="8" t="s">
        <v>238</v>
      </c>
    </row>
    <row r="4" customFormat="false" ht="15" hidden="false" customHeight="false" outlineLevel="0" collapsed="false">
      <c r="A4" s="11" t="s">
        <v>149</v>
      </c>
      <c r="B4" s="11" t="s">
        <v>133</v>
      </c>
      <c r="C4" s="10" t="s">
        <v>134</v>
      </c>
      <c r="D4" s="17" t="n">
        <f aca="false">SUMIFS('Расходный материал'!$I$4:$I$99,'Расходный материал'!$D$4:$D$99,A4,'Расходный материал'!$F$4:$F$99,C4)</f>
        <v>22</v>
      </c>
      <c r="E4" s="20"/>
      <c r="F4" s="21" t="n">
        <f aca="false">D4*E4</f>
        <v>0</v>
      </c>
    </row>
    <row r="5" customFormat="false" ht="15" hidden="false" customHeight="false" outlineLevel="0" collapsed="false">
      <c r="A5" s="11" t="s">
        <v>191</v>
      </c>
      <c r="B5" s="11" t="s">
        <v>133</v>
      </c>
      <c r="C5" s="10" t="s">
        <v>134</v>
      </c>
      <c r="D5" s="17" t="n">
        <f aca="false">SUMIFS('Расходный материал'!$I$4:$I$99,'Расходный материал'!$D$4:$D$99,A5,'Расходный материал'!$F$4:$F$99,C5)</f>
        <v>22</v>
      </c>
      <c r="E5" s="20"/>
      <c r="F5" s="21" t="n">
        <f aca="false">D5*E5</f>
        <v>0</v>
      </c>
    </row>
    <row r="6" customFormat="false" ht="15" hidden="false" customHeight="false" outlineLevel="0" collapsed="false">
      <c r="A6" s="11" t="s">
        <v>150</v>
      </c>
      <c r="B6" s="11" t="s">
        <v>133</v>
      </c>
      <c r="C6" s="10" t="s">
        <v>134</v>
      </c>
      <c r="D6" s="17" t="n">
        <f aca="false">SUMIFS('Расходный материал'!$I$4:$I$99,'Расходный материал'!$D$4:$D$99,A6,'Расходный материал'!$F$4:$F$99,C6)</f>
        <v>22</v>
      </c>
      <c r="E6" s="20"/>
      <c r="F6" s="21" t="n">
        <f aca="false">D6*E6</f>
        <v>0</v>
      </c>
    </row>
    <row r="7" customFormat="false" ht="15" hidden="false" customHeight="false" outlineLevel="0" collapsed="false">
      <c r="A7" s="11" t="s">
        <v>197</v>
      </c>
      <c r="B7" s="11" t="s">
        <v>133</v>
      </c>
      <c r="C7" s="10" t="s">
        <v>134</v>
      </c>
      <c r="D7" s="17" t="n">
        <f aca="false">SUMIFS('Расходный материал'!$I$4:$I$99,'Расходный материал'!$D$4:$D$99,A7,'Расходный материал'!$F$4:$F$99,C7)</f>
        <v>4</v>
      </c>
      <c r="E7" s="20"/>
      <c r="F7" s="21" t="n">
        <f aca="false">D7*E7</f>
        <v>0</v>
      </c>
    </row>
    <row r="8" customFormat="false" ht="15" hidden="false" customHeight="false" outlineLevel="0" collapsed="false">
      <c r="A8" s="11" t="s">
        <v>188</v>
      </c>
      <c r="B8" s="11" t="s">
        <v>133</v>
      </c>
      <c r="C8" s="10" t="s">
        <v>134</v>
      </c>
      <c r="D8" s="17" t="n">
        <f aca="false">SUMIFS('Расходный материал'!$I$4:$I$99,'Расходный материал'!$D$4:$D$99,A8,'Расходный материал'!$F$4:$F$99,C8)</f>
        <v>11</v>
      </c>
      <c r="E8" s="20"/>
      <c r="F8" s="21" t="n">
        <f aca="false">D8*E8</f>
        <v>0</v>
      </c>
    </row>
    <row r="9" customFormat="false" ht="15" hidden="false" customHeight="false" outlineLevel="0" collapsed="false">
      <c r="A9" s="11" t="s">
        <v>182</v>
      </c>
      <c r="B9" s="11" t="s">
        <v>133</v>
      </c>
      <c r="C9" s="10" t="s">
        <v>134</v>
      </c>
      <c r="D9" s="17" t="n">
        <f aca="false">SUMIFS('Расходный материал'!$I$4:$I$99,'Расходный материал'!$D$4:$D$99,A9,'Расходный материал'!$F$4:$F$99,C9)</f>
        <v>11</v>
      </c>
      <c r="E9" s="20"/>
      <c r="F9" s="21" t="n">
        <f aca="false">D9*E9</f>
        <v>0</v>
      </c>
    </row>
    <row r="10" customFormat="false" ht="15" hidden="false" customHeight="false" outlineLevel="0" collapsed="false">
      <c r="A10" s="11" t="s">
        <v>167</v>
      </c>
      <c r="B10" s="11" t="s">
        <v>133</v>
      </c>
      <c r="C10" s="10" t="s">
        <v>134</v>
      </c>
      <c r="D10" s="17" t="n">
        <f aca="false">SUMIFS('Расходный материал'!$I$4:$I$99,'Расходный материал'!$D$4:$D$99,A10,'Расходный материал'!$F$4:$F$99,C10)</f>
        <v>22</v>
      </c>
      <c r="E10" s="20"/>
      <c r="F10" s="21" t="n">
        <f aca="false">D10*E10</f>
        <v>0</v>
      </c>
    </row>
    <row r="11" customFormat="false" ht="15" hidden="false" customHeight="false" outlineLevel="0" collapsed="false">
      <c r="A11" s="11" t="s">
        <v>193</v>
      </c>
      <c r="B11" s="11" t="s">
        <v>133</v>
      </c>
      <c r="C11" s="10" t="s">
        <v>134</v>
      </c>
      <c r="D11" s="17" t="n">
        <f aca="false">SUMIFS('Расходный материал'!$I$4:$I$99,'Расходный материал'!$D$4:$D$99,A11,'Расходный материал'!$F$4:$F$99,C11)</f>
        <v>11</v>
      </c>
      <c r="E11" s="20"/>
      <c r="F11" s="21" t="n">
        <f aca="false">D11*E11</f>
        <v>0</v>
      </c>
    </row>
    <row r="12" customFormat="false" ht="15" hidden="false" customHeight="false" outlineLevel="0" collapsed="false">
      <c r="A12" s="11" t="s">
        <v>181</v>
      </c>
      <c r="B12" s="11" t="s">
        <v>133</v>
      </c>
      <c r="C12" s="10" t="s">
        <v>134</v>
      </c>
      <c r="D12" s="17" t="n">
        <f aca="false">SUMIFS('Расходный материал'!$I$4:$I$99,'Расходный материал'!$D$4:$D$99,A12,'Расходный материал'!$F$4:$F$99,C12)</f>
        <v>11</v>
      </c>
      <c r="E12" s="20"/>
      <c r="F12" s="21" t="n">
        <f aca="false">D12*E12</f>
        <v>0</v>
      </c>
    </row>
    <row r="13" customFormat="false" ht="15" hidden="false" customHeight="false" outlineLevel="0" collapsed="false">
      <c r="A13" s="11" t="s">
        <v>132</v>
      </c>
      <c r="B13" s="11" t="s">
        <v>133</v>
      </c>
      <c r="C13" s="10" t="s">
        <v>134</v>
      </c>
      <c r="D13" s="17" t="n">
        <f aca="false">SUMIFS('Расходный материал'!$I$4:$I$99,'Расходный материал'!$D$4:$D$99,A13,'Расходный материал'!$F$4:$F$99,C13)</f>
        <v>22</v>
      </c>
      <c r="E13" s="20"/>
      <c r="F13" s="21" t="n">
        <f aca="false">D13*E13</f>
        <v>0</v>
      </c>
    </row>
    <row r="14" customFormat="false" ht="15" hidden="false" customHeight="false" outlineLevel="0" collapsed="false">
      <c r="A14" s="11" t="s">
        <v>162</v>
      </c>
      <c r="B14" s="11" t="s">
        <v>133</v>
      </c>
      <c r="C14" s="10" t="s">
        <v>134</v>
      </c>
      <c r="D14" s="17" t="n">
        <f aca="false">SUMIFS('Расходный материал'!$I$4:$I$99,'Расходный материал'!$D$4:$D$99,A14,'Расходный материал'!$F$4:$F$99,C14)</f>
        <v>22</v>
      </c>
      <c r="E14" s="20"/>
      <c r="F14" s="21" t="n">
        <f aca="false">D14*E14</f>
        <v>0</v>
      </c>
    </row>
    <row r="15" customFormat="false" ht="15" hidden="false" customHeight="false" outlineLevel="0" collapsed="false">
      <c r="A15" s="11" t="s">
        <v>157</v>
      </c>
      <c r="B15" s="11" t="s">
        <v>133</v>
      </c>
      <c r="C15" s="10" t="s">
        <v>134</v>
      </c>
      <c r="D15" s="17" t="n">
        <f aca="false">SUMIFS('Расходный материал'!$I$4:$I$99,'Расходный материал'!$D$4:$D$99,A15,'Расходный материал'!$F$4:$F$99,C15)</f>
        <v>22</v>
      </c>
      <c r="E15" s="20"/>
      <c r="F15" s="21" t="n">
        <f aca="false">D15*E15</f>
        <v>0</v>
      </c>
    </row>
    <row r="16" customFormat="false" ht="15" hidden="false" customHeight="false" outlineLevel="0" collapsed="false">
      <c r="A16" s="11" t="s">
        <v>168</v>
      </c>
      <c r="B16" s="11" t="s">
        <v>140</v>
      </c>
      <c r="C16" s="10" t="s">
        <v>134</v>
      </c>
      <c r="D16" s="17" t="n">
        <f aca="false">SUMIFS('Расходный материал'!$I$4:$I$99,'Расходный материал'!$D$4:$D$99,A16,'Расходный материал'!$F$4:$F$99,C16)</f>
        <v>44</v>
      </c>
      <c r="E16" s="20"/>
      <c r="F16" s="21" t="n">
        <f aca="false">D16*E16</f>
        <v>0</v>
      </c>
    </row>
    <row r="17" customFormat="false" ht="15" hidden="false" customHeight="false" outlineLevel="0" collapsed="false">
      <c r="A17" s="11" t="s">
        <v>154</v>
      </c>
      <c r="B17" s="11" t="s">
        <v>140</v>
      </c>
      <c r="C17" s="10" t="s">
        <v>134</v>
      </c>
      <c r="D17" s="17" t="n">
        <f aca="false">SUMIFS('Расходный материал'!$I$4:$I$99,'Расходный материал'!$D$4:$D$99,A17,'Расходный материал'!$F$4:$F$99,C17)</f>
        <v>44</v>
      </c>
      <c r="E17" s="20"/>
      <c r="F17" s="21" t="n">
        <f aca="false">D17*E17</f>
        <v>0</v>
      </c>
    </row>
    <row r="18" customFormat="false" ht="15" hidden="false" customHeight="false" outlineLevel="0" collapsed="false">
      <c r="A18" s="11" t="s">
        <v>169</v>
      </c>
      <c r="B18" s="11" t="s">
        <v>140</v>
      </c>
      <c r="C18" s="10" t="s">
        <v>134</v>
      </c>
      <c r="D18" s="17" t="n">
        <f aca="false">SUMIFS('Расходный материал'!$I$4:$I$99,'Расходный материал'!$D$4:$D$99,A18,'Расходный материал'!$F$4:$F$99,C18)</f>
        <v>33</v>
      </c>
      <c r="E18" s="20"/>
      <c r="F18" s="21" t="n">
        <f aca="false">D18*E18</f>
        <v>0</v>
      </c>
    </row>
    <row r="19" customFormat="false" ht="15" hidden="false" customHeight="false" outlineLevel="0" collapsed="false">
      <c r="A19" s="11" t="s">
        <v>155</v>
      </c>
      <c r="B19" s="11" t="s">
        <v>140</v>
      </c>
      <c r="C19" s="10" t="s">
        <v>134</v>
      </c>
      <c r="D19" s="17" t="n">
        <f aca="false">SUMIFS('Расходный материал'!$I$4:$I$99,'Расходный материал'!$D$4:$D$99,A19,'Расходный материал'!$F$4:$F$99,C19)</f>
        <v>22</v>
      </c>
      <c r="E19" s="20"/>
      <c r="F19" s="21" t="n">
        <f aca="false">D19*E19</f>
        <v>0</v>
      </c>
    </row>
    <row r="20" customFormat="false" ht="15" hidden="false" customHeight="false" outlineLevel="0" collapsed="false">
      <c r="A20" s="11" t="s">
        <v>195</v>
      </c>
      <c r="B20" s="11" t="s">
        <v>140</v>
      </c>
      <c r="C20" s="10" t="s">
        <v>134</v>
      </c>
      <c r="D20" s="17" t="n">
        <f aca="false">SUMIFS('Расходный материал'!$I$4:$I$99,'Расходный материал'!$D$4:$D$99,A20,'Расходный материал'!$F$4:$F$99,C20)</f>
        <v>11</v>
      </c>
      <c r="E20" s="20"/>
      <c r="F20" s="21" t="n">
        <f aca="false">D20*E20</f>
        <v>0</v>
      </c>
    </row>
    <row r="21" customFormat="false" ht="15" hidden="false" customHeight="false" outlineLevel="0" collapsed="false">
      <c r="A21" s="11" t="s">
        <v>194</v>
      </c>
      <c r="B21" s="11" t="s">
        <v>140</v>
      </c>
      <c r="C21" s="10" t="s">
        <v>134</v>
      </c>
      <c r="D21" s="17" t="n">
        <f aca="false">SUMIFS('Расходный материал'!$I$4:$I$99,'Расходный материал'!$D$4:$D$99,A21,'Расходный материал'!$F$4:$F$99,C21)</f>
        <v>22</v>
      </c>
      <c r="E21" s="20"/>
      <c r="F21" s="21" t="n">
        <f aca="false">D21*E21</f>
        <v>0</v>
      </c>
    </row>
    <row r="22" customFormat="false" ht="15" hidden="false" customHeight="false" outlineLevel="0" collapsed="false">
      <c r="A22" s="11" t="s">
        <v>160</v>
      </c>
      <c r="B22" s="11" t="s">
        <v>140</v>
      </c>
      <c r="C22" s="10" t="s">
        <v>134</v>
      </c>
      <c r="D22" s="17" t="n">
        <f aca="false">SUMIFS('Расходный материал'!$I$4:$I$99,'Расходный материал'!$D$4:$D$99,A22,'Расходный материал'!$F$4:$F$99,C22)</f>
        <v>66</v>
      </c>
      <c r="E22" s="20"/>
      <c r="F22" s="21" t="n">
        <f aca="false">D22*E22</f>
        <v>0</v>
      </c>
    </row>
    <row r="23" customFormat="false" ht="15" hidden="false" customHeight="false" outlineLevel="0" collapsed="false">
      <c r="A23" s="11" t="s">
        <v>172</v>
      </c>
      <c r="B23" s="11" t="s">
        <v>140</v>
      </c>
      <c r="C23" s="10" t="s">
        <v>134</v>
      </c>
      <c r="D23" s="17" t="n">
        <f aca="false">SUMIFS('Расходный материал'!$I$4:$I$99,'Расходный материал'!$D$4:$D$99,A23,'Расходный материал'!$F$4:$F$99,C23)</f>
        <v>66</v>
      </c>
      <c r="E23" s="20"/>
      <c r="F23" s="21" t="n">
        <f aca="false">D23*E23</f>
        <v>0</v>
      </c>
    </row>
    <row r="24" customFormat="false" ht="15" hidden="false" customHeight="false" outlineLevel="0" collapsed="false">
      <c r="A24" s="11" t="s">
        <v>200</v>
      </c>
      <c r="B24" s="11" t="s">
        <v>140</v>
      </c>
      <c r="C24" s="10" t="s">
        <v>134</v>
      </c>
      <c r="D24" s="17" t="n">
        <f aca="false">SUMIFS('Расходный материал'!$I$4:$I$99,'Расходный материал'!$D$4:$D$99,A24,'Расходный материал'!$F$4:$F$99,C24)</f>
        <v>17</v>
      </c>
      <c r="E24" s="20"/>
      <c r="F24" s="21" t="n">
        <f aca="false">D24*E24</f>
        <v>0</v>
      </c>
    </row>
    <row r="25" customFormat="false" ht="15" hidden="false" customHeight="false" outlineLevel="0" collapsed="false">
      <c r="A25" s="11" t="s">
        <v>163</v>
      </c>
      <c r="B25" s="11" t="s">
        <v>140</v>
      </c>
      <c r="C25" s="10" t="s">
        <v>134</v>
      </c>
      <c r="D25" s="17" t="n">
        <f aca="false">SUMIFS('Расходный материал'!$I$4:$I$99,'Расходный материал'!$D$4:$D$99,A25,'Расходный материал'!$F$4:$F$99,C25)</f>
        <v>44</v>
      </c>
      <c r="E25" s="20"/>
      <c r="F25" s="21" t="n">
        <f aca="false">D25*E25</f>
        <v>0</v>
      </c>
    </row>
    <row r="26" customFormat="false" ht="15" hidden="false" customHeight="false" outlineLevel="0" collapsed="false">
      <c r="A26" s="11" t="s">
        <v>164</v>
      </c>
      <c r="B26" s="11" t="s">
        <v>140</v>
      </c>
      <c r="C26" s="10" t="s">
        <v>134</v>
      </c>
      <c r="D26" s="17" t="n">
        <f aca="false">SUMIFS('Расходный материал'!$I$4:$I$99,'Расходный материал'!$D$4:$D$99,A26,'Расходный материал'!$F$4:$F$99,C26)</f>
        <v>22</v>
      </c>
      <c r="E26" s="20"/>
      <c r="F26" s="21" t="n">
        <f aca="false">D26*E26</f>
        <v>0</v>
      </c>
    </row>
    <row r="27" customFormat="false" ht="15" hidden="false" customHeight="false" outlineLevel="0" collapsed="false">
      <c r="A27" s="11" t="s">
        <v>185</v>
      </c>
      <c r="B27" s="11" t="s">
        <v>140</v>
      </c>
      <c r="C27" s="10" t="s">
        <v>134</v>
      </c>
      <c r="D27" s="17" t="n">
        <f aca="false">SUMIFS('Расходный материал'!$I$4:$I$99,'Расходный материал'!$D$4:$D$99,A27,'Расходный материал'!$F$4:$F$99,C27)</f>
        <v>22</v>
      </c>
      <c r="E27" s="20"/>
      <c r="F27" s="21" t="n">
        <f aca="false">D27*E27</f>
        <v>0</v>
      </c>
    </row>
    <row r="28" customFormat="false" ht="15" hidden="false" customHeight="false" outlineLevel="0" collapsed="false">
      <c r="A28" s="11" t="s">
        <v>199</v>
      </c>
      <c r="B28" s="11" t="s">
        <v>140</v>
      </c>
      <c r="C28" s="10" t="s">
        <v>134</v>
      </c>
      <c r="D28" s="17" t="n">
        <f aca="false">SUMIFS('Расходный материал'!$I$4:$I$99,'Расходный материал'!$D$4:$D$99,A28,'Расходный материал'!$F$4:$F$99,C28)</f>
        <v>17</v>
      </c>
      <c r="E28" s="20"/>
      <c r="F28" s="21" t="n">
        <f aca="false">D28*E28</f>
        <v>0</v>
      </c>
    </row>
    <row r="29" customFormat="false" ht="15" hidden="false" customHeight="false" outlineLevel="0" collapsed="false">
      <c r="A29" s="11" t="s">
        <v>184</v>
      </c>
      <c r="B29" s="11" t="s">
        <v>140</v>
      </c>
      <c r="C29" s="10" t="s">
        <v>134</v>
      </c>
      <c r="D29" s="17" t="n">
        <f aca="false">SUMIFS('Расходный материал'!$I$4:$I$99,'Расходный материал'!$D$4:$D$99,A29,'Расходный материал'!$F$4:$F$99,C29)</f>
        <v>22</v>
      </c>
      <c r="E29" s="20"/>
      <c r="F29" s="21" t="n">
        <f aca="false">D29*E29</f>
        <v>0</v>
      </c>
    </row>
    <row r="30" customFormat="false" ht="15" hidden="false" customHeight="false" outlineLevel="0" collapsed="false">
      <c r="A30" s="11" t="s">
        <v>183</v>
      </c>
      <c r="B30" s="11" t="s">
        <v>140</v>
      </c>
      <c r="C30" s="10" t="s">
        <v>134</v>
      </c>
      <c r="D30" s="17" t="n">
        <f aca="false">SUMIFS('Расходный материал'!$I$4:$I$99,'Расходный материал'!$D$4:$D$99,A30,'Расходный материал'!$F$4:$F$99,C30)</f>
        <v>11</v>
      </c>
      <c r="E30" s="20"/>
      <c r="F30" s="21" t="n">
        <f aca="false">D30*E30</f>
        <v>0</v>
      </c>
    </row>
    <row r="31" customFormat="false" ht="15" hidden="false" customHeight="false" outlineLevel="0" collapsed="false">
      <c r="A31" s="11" t="s">
        <v>143</v>
      </c>
      <c r="B31" s="11" t="s">
        <v>140</v>
      </c>
      <c r="C31" s="10" t="s">
        <v>134</v>
      </c>
      <c r="D31" s="17" t="n">
        <f aca="false">SUMIFS('Расходный материал'!$I$4:$I$99,'Расходный материал'!$D$4:$D$99,A31,'Расходный материал'!$F$4:$F$99,C31)</f>
        <v>22</v>
      </c>
      <c r="E31" s="20"/>
      <c r="F31" s="21" t="n">
        <f aca="false">D31*E31</f>
        <v>0</v>
      </c>
    </row>
    <row r="32" customFormat="false" ht="15" hidden="false" customHeight="false" outlineLevel="0" collapsed="false">
      <c r="A32" s="11" t="s">
        <v>142</v>
      </c>
      <c r="B32" s="11" t="s">
        <v>140</v>
      </c>
      <c r="C32" s="10" t="s">
        <v>134</v>
      </c>
      <c r="D32" s="17" t="n">
        <f aca="false">SUMIFS('Расходный материал'!$I$4:$I$99,'Расходный материал'!$D$4:$D$99,A32,'Расходный материал'!$F$4:$F$99,C32)</f>
        <v>44</v>
      </c>
      <c r="E32" s="20"/>
      <c r="F32" s="21" t="n">
        <f aca="false">D32*E32</f>
        <v>0</v>
      </c>
    </row>
    <row r="33" customFormat="false" ht="15" hidden="false" customHeight="false" outlineLevel="0" collapsed="false">
      <c r="A33" s="11" t="s">
        <v>139</v>
      </c>
      <c r="B33" s="11" t="s">
        <v>140</v>
      </c>
      <c r="C33" s="10" t="s">
        <v>134</v>
      </c>
      <c r="D33" s="17" t="n">
        <f aca="false">SUMIFS('Расходный материал'!$I$4:$I$99,'Расходный материал'!$D$4:$D$99,A33,'Расходный материал'!$F$4:$F$99,C33)</f>
        <v>44</v>
      </c>
      <c r="E33" s="20"/>
      <c r="F33" s="21" t="n">
        <f aca="false">D33*E33</f>
        <v>0</v>
      </c>
    </row>
    <row r="34" customFormat="false" ht="15" hidden="false" customHeight="false" outlineLevel="0" collapsed="false">
      <c r="A34" s="11" t="s">
        <v>214</v>
      </c>
      <c r="B34" s="11" t="s">
        <v>145</v>
      </c>
      <c r="C34" s="10" t="s">
        <v>134</v>
      </c>
      <c r="D34" s="17" t="n">
        <f aca="false">SUMIFS('Расходный материал'!$I$4:$I$99,'Расходный материал'!$D$4:$D$99,A34,'Расходный материал'!$F$4:$F$99,C34)</f>
        <v>14</v>
      </c>
      <c r="E34" s="20"/>
      <c r="F34" s="21" t="n">
        <f aca="false">D34*E34</f>
        <v>0</v>
      </c>
    </row>
    <row r="35" customFormat="false" ht="15" hidden="false" customHeight="false" outlineLevel="0" collapsed="false">
      <c r="A35" s="11" t="s">
        <v>176</v>
      </c>
      <c r="B35" s="11" t="s">
        <v>145</v>
      </c>
      <c r="C35" s="10" t="s">
        <v>134</v>
      </c>
      <c r="D35" s="17" t="n">
        <f aca="false">SUMIFS('Расходный материал'!$I$4:$I$99,'Расходный материал'!$D$4:$D$99,A35,'Расходный материал'!$F$4:$F$99,C35)</f>
        <v>22</v>
      </c>
      <c r="E35" s="20"/>
      <c r="F35" s="21" t="n">
        <f aca="false">D35*E35</f>
        <v>0</v>
      </c>
    </row>
    <row r="36" customFormat="false" ht="15" hidden="false" customHeight="false" outlineLevel="0" collapsed="false">
      <c r="A36" s="11" t="s">
        <v>179</v>
      </c>
      <c r="B36" s="11" t="s">
        <v>145</v>
      </c>
      <c r="C36" s="10" t="s">
        <v>178</v>
      </c>
      <c r="D36" s="17" t="n">
        <f aca="false">SUMIFS('Расходный материал'!$I$4:$I$99,'Расходный материал'!$D$4:$D$99,A36,'Расходный материал'!$F$4:$F$99,C36)</f>
        <v>11</v>
      </c>
      <c r="E36" s="20"/>
      <c r="F36" s="21" t="n">
        <f aca="false">D36*E36</f>
        <v>0</v>
      </c>
    </row>
    <row r="37" customFormat="false" ht="15" hidden="false" customHeight="false" outlineLevel="0" collapsed="false">
      <c r="A37" s="11" t="s">
        <v>175</v>
      </c>
      <c r="B37" s="11" t="s">
        <v>145</v>
      </c>
      <c r="C37" s="10" t="s">
        <v>134</v>
      </c>
      <c r="D37" s="17" t="n">
        <f aca="false">SUMIFS('Расходный материал'!$I$4:$I$99,'Расходный материал'!$D$4:$D$99,A37,'Расходный материал'!$F$4:$F$99,C37)</f>
        <v>22</v>
      </c>
      <c r="E37" s="20"/>
      <c r="F37" s="21" t="n">
        <f aca="false">D37*E37</f>
        <v>0</v>
      </c>
    </row>
    <row r="38" customFormat="false" ht="15" hidden="false" customHeight="false" outlineLevel="0" collapsed="false">
      <c r="A38" s="11" t="s">
        <v>174</v>
      </c>
      <c r="B38" s="11" t="s">
        <v>145</v>
      </c>
      <c r="C38" s="10" t="s">
        <v>134</v>
      </c>
      <c r="D38" s="17" t="n">
        <f aca="false">SUMIFS('Расходный материал'!$I$4:$I$99,'Расходный материал'!$D$4:$D$99,A38,'Расходный материал'!$F$4:$F$99,C38)</f>
        <v>66</v>
      </c>
      <c r="E38" s="20"/>
      <c r="F38" s="21" t="n">
        <f aca="false">D38*E38</f>
        <v>0</v>
      </c>
    </row>
    <row r="39" customFormat="false" ht="15" hidden="false" customHeight="false" outlineLevel="0" collapsed="false">
      <c r="A39" s="11" t="s">
        <v>165</v>
      </c>
      <c r="B39" s="11" t="s">
        <v>145</v>
      </c>
      <c r="C39" s="10" t="s">
        <v>134</v>
      </c>
      <c r="D39" s="17" t="n">
        <f aca="false">SUMIFS('Расходный материал'!$I$4:$I$99,'Расходный материал'!$D$4:$D$99,A39,'Расходный материал'!$F$4:$F$99,C39)</f>
        <v>22</v>
      </c>
      <c r="E39" s="20"/>
      <c r="F39" s="21" t="n">
        <f aca="false">D39*E39</f>
        <v>0</v>
      </c>
    </row>
    <row r="40" customFormat="false" ht="15" hidden="false" customHeight="false" outlineLevel="0" collapsed="false">
      <c r="A40" s="11" t="s">
        <v>161</v>
      </c>
      <c r="B40" s="11" t="s">
        <v>145</v>
      </c>
      <c r="C40" s="10" t="s">
        <v>134</v>
      </c>
      <c r="D40" s="17" t="n">
        <f aca="false">SUMIFS('Расходный материал'!$I$4:$I$99,'Расходный материал'!$D$4:$D$99,A40,'Расходный материал'!$F$4:$F$99,C40)</f>
        <v>70</v>
      </c>
      <c r="E40" s="20"/>
      <c r="F40" s="21" t="n">
        <f aca="false">D40*E40</f>
        <v>0</v>
      </c>
    </row>
    <row r="41" customFormat="false" ht="15" hidden="false" customHeight="false" outlineLevel="0" collapsed="false">
      <c r="A41" s="11" t="s">
        <v>166</v>
      </c>
      <c r="B41" s="11" t="s">
        <v>145</v>
      </c>
      <c r="C41" s="10" t="s">
        <v>134</v>
      </c>
      <c r="D41" s="17" t="n">
        <f aca="false">SUMIFS('Расходный материал'!$I$4:$I$99,'Расходный материал'!$D$4:$D$99,A41,'Расходный материал'!$F$4:$F$99,C41)</f>
        <v>22</v>
      </c>
      <c r="E41" s="20"/>
      <c r="F41" s="21" t="n">
        <f aca="false">D41*E41</f>
        <v>0</v>
      </c>
    </row>
    <row r="42" customFormat="false" ht="15" hidden="false" customHeight="false" outlineLevel="0" collapsed="false">
      <c r="A42" s="11" t="s">
        <v>156</v>
      </c>
      <c r="B42" s="11" t="s">
        <v>145</v>
      </c>
      <c r="C42" s="10" t="s">
        <v>134</v>
      </c>
      <c r="D42" s="17" t="n">
        <f aca="false">SUMIFS('Расходный материал'!$I$4:$I$99,'Расходный материал'!$D$4:$D$99,A42,'Расходный материал'!$F$4:$F$99,C42)</f>
        <v>22</v>
      </c>
      <c r="E42" s="20"/>
      <c r="F42" s="21" t="n">
        <f aca="false">D42*E42</f>
        <v>0</v>
      </c>
    </row>
    <row r="43" customFormat="false" ht="15" hidden="false" customHeight="false" outlineLevel="0" collapsed="false">
      <c r="A43" s="11" t="s">
        <v>196</v>
      </c>
      <c r="B43" s="11" t="s">
        <v>145</v>
      </c>
      <c r="C43" s="10" t="s">
        <v>134</v>
      </c>
      <c r="D43" s="17" t="n">
        <f aca="false">SUMIFS('Расходный материал'!$I$4:$I$99,'Расходный материал'!$D$4:$D$99,A43,'Расходный материал'!$F$4:$F$99,C43)</f>
        <v>11</v>
      </c>
      <c r="E43" s="20"/>
      <c r="F43" s="21" t="n">
        <f aca="false">D43*E43</f>
        <v>0</v>
      </c>
    </row>
    <row r="44" customFormat="false" ht="15" hidden="false" customHeight="false" outlineLevel="0" collapsed="false">
      <c r="A44" s="11" t="s">
        <v>144</v>
      </c>
      <c r="B44" s="11" t="s">
        <v>145</v>
      </c>
      <c r="C44" s="10" t="s">
        <v>134</v>
      </c>
      <c r="D44" s="17" t="n">
        <f aca="false">SUMIFS('Расходный материал'!$I$4:$I$99,'Расходный материал'!$D$4:$D$99,A44,'Расходный материал'!$F$4:$F$99,C44)</f>
        <v>22</v>
      </c>
      <c r="E44" s="20"/>
      <c r="F44" s="21" t="n">
        <f aca="false">D44*E44</f>
        <v>0</v>
      </c>
    </row>
    <row r="45" customFormat="false" ht="15" hidden="false" customHeight="false" outlineLevel="0" collapsed="false">
      <c r="A45" s="11" t="s">
        <v>170</v>
      </c>
      <c r="B45" s="11" t="s">
        <v>145</v>
      </c>
      <c r="C45" s="10" t="s">
        <v>134</v>
      </c>
      <c r="D45" s="17" t="n">
        <f aca="false">SUMIFS('Расходный материал'!$I$4:$I$99,'Расходный материал'!$D$4:$D$99,A45,'Расходный материал'!$F$4:$F$99,C45)</f>
        <v>33</v>
      </c>
      <c r="E45" s="20"/>
      <c r="F45" s="21" t="n">
        <f aca="false">D45*E45</f>
        <v>0</v>
      </c>
    </row>
    <row r="46" customFormat="false" ht="15" hidden="false" customHeight="false" outlineLevel="0" collapsed="false">
      <c r="A46" s="11" t="s">
        <v>189</v>
      </c>
      <c r="B46" s="11" t="s">
        <v>145</v>
      </c>
      <c r="C46" s="10" t="s">
        <v>190</v>
      </c>
      <c r="D46" s="17" t="n">
        <f aca="false">SUMIFS('Расходный материал'!$I$4:$I$99,'Расходный материал'!$D$4:$D$99,A46,'Расходный материал'!$F$4:$F$99,C46)</f>
        <v>11</v>
      </c>
      <c r="E46" s="20"/>
      <c r="F46" s="21" t="n">
        <f aca="false">D46*E46</f>
        <v>0</v>
      </c>
    </row>
    <row r="47" customFormat="false" ht="15" hidden="false" customHeight="false" outlineLevel="0" collapsed="false">
      <c r="A47" s="11" t="s">
        <v>210</v>
      </c>
      <c r="B47" s="11" t="s">
        <v>145</v>
      </c>
      <c r="C47" s="10" t="s">
        <v>134</v>
      </c>
      <c r="D47" s="17" t="n">
        <f aca="false">SUMIFS('Расходный материал'!$I$4:$I$99,'Расходный материал'!$D$4:$D$99,A47,'Расходный материал'!$F$4:$F$99,C47)</f>
        <v>14</v>
      </c>
      <c r="E47" s="20"/>
      <c r="F47" s="21" t="n">
        <f aca="false">D47*E47</f>
        <v>0</v>
      </c>
    </row>
    <row r="48" customFormat="false" ht="15" hidden="false" customHeight="false" outlineLevel="0" collapsed="false">
      <c r="A48" s="11" t="s">
        <v>218</v>
      </c>
      <c r="B48" s="11" t="s">
        <v>145</v>
      </c>
      <c r="C48" s="10" t="s">
        <v>134</v>
      </c>
      <c r="D48" s="17" t="n">
        <f aca="false">SUMIFS('Расходный материал'!$I$4:$I$99,'Расходный материал'!$D$4:$D$99,A48,'Расходный материал'!$F$4:$F$99,C48)</f>
        <v>4</v>
      </c>
      <c r="E48" s="20"/>
      <c r="F48" s="21" t="n">
        <f aca="false">D48*E48</f>
        <v>0</v>
      </c>
    </row>
    <row r="49" customFormat="false" ht="15" hidden="false" customHeight="false" outlineLevel="0" collapsed="false">
      <c r="A49" s="11" t="s">
        <v>186</v>
      </c>
      <c r="B49" s="11" t="s">
        <v>145</v>
      </c>
      <c r="C49" s="10" t="s">
        <v>134</v>
      </c>
      <c r="D49" s="17" t="n">
        <f aca="false">SUMIFS('Расходный материал'!$I$4:$I$99,'Расходный материал'!$D$4:$D$99,A49,'Расходный материал'!$F$4:$F$99,C49)</f>
        <v>11</v>
      </c>
      <c r="E49" s="20"/>
      <c r="F49" s="21" t="n">
        <f aca="false">D49*E49</f>
        <v>0</v>
      </c>
    </row>
    <row r="50" customFormat="false" ht="15" hidden="false" customHeight="false" outlineLevel="0" collapsed="false">
      <c r="A50" s="11" t="s">
        <v>201</v>
      </c>
      <c r="B50" s="11" t="s">
        <v>145</v>
      </c>
      <c r="C50" s="10" t="s">
        <v>202</v>
      </c>
      <c r="D50" s="17" t="n">
        <f aca="false">SUMIFS('Расходный материал'!$I$4:$I$99,'Расходный материал'!$D$4:$D$99,A50,'Расходный материал'!$F$4:$F$99,C50)</f>
        <v>7</v>
      </c>
      <c r="E50" s="20"/>
      <c r="F50" s="21" t="n">
        <f aca="false">D50*E50</f>
        <v>0</v>
      </c>
    </row>
    <row r="51" customFormat="false" ht="15" hidden="false" customHeight="false" outlineLevel="0" collapsed="false">
      <c r="A51" s="11" t="s">
        <v>212</v>
      </c>
      <c r="B51" s="11" t="s">
        <v>145</v>
      </c>
      <c r="C51" s="10" t="s">
        <v>213</v>
      </c>
      <c r="D51" s="17" t="n">
        <f aca="false">SUMIFS('Расходный материал'!$I$4:$I$99,'Расходный материал'!$D$4:$D$99,A51,'Расходный материал'!$F$4:$F$99,C51)</f>
        <v>4</v>
      </c>
      <c r="E51" s="20"/>
      <c r="F51" s="21" t="n">
        <f aca="false">D51*E51</f>
        <v>0</v>
      </c>
    </row>
    <row r="52" customFormat="false" ht="15" hidden="false" customHeight="false" outlineLevel="0" collapsed="false">
      <c r="A52" s="11" t="s">
        <v>146</v>
      </c>
      <c r="B52" s="11" t="s">
        <v>145</v>
      </c>
      <c r="C52" s="10" t="s">
        <v>147</v>
      </c>
      <c r="D52" s="17" t="n">
        <f aca="false">SUMIFS('Расходный материал'!$I$4:$I$99,'Расходный материал'!$D$4:$D$99,A52,'Расходный материал'!$F$4:$F$99,C52)</f>
        <v>542</v>
      </c>
      <c r="E52" s="20"/>
      <c r="F52" s="21" t="n">
        <f aca="false">D52*E52</f>
        <v>0</v>
      </c>
    </row>
    <row r="53" customFormat="false" ht="15" hidden="false" customHeight="false" outlineLevel="0" collapsed="false">
      <c r="A53" s="11" t="s">
        <v>206</v>
      </c>
      <c r="B53" s="11" t="s">
        <v>145</v>
      </c>
      <c r="C53" s="10" t="s">
        <v>147</v>
      </c>
      <c r="D53" s="17" t="n">
        <f aca="false">SUMIFS('Расходный материал'!$I$4:$I$99,'Расходный материал'!$D$4:$D$99,A53,'Расходный материал'!$F$4:$F$99,C53)</f>
        <v>10</v>
      </c>
      <c r="E53" s="20"/>
      <c r="F53" s="21" t="n">
        <f aca="false">D53*E53</f>
        <v>0</v>
      </c>
    </row>
    <row r="54" customFormat="false" ht="15" hidden="false" customHeight="false" outlineLevel="0" collapsed="false">
      <c r="A54" s="11" t="s">
        <v>211</v>
      </c>
      <c r="B54" s="11" t="s">
        <v>145</v>
      </c>
      <c r="C54" s="10" t="s">
        <v>134</v>
      </c>
      <c r="D54" s="17" t="n">
        <f aca="false">SUMIFS('Расходный материал'!$I$4:$I$99,'Расходный материал'!$D$4:$D$99,A54,'Расходный материал'!$F$4:$F$99,C54)</f>
        <v>4</v>
      </c>
      <c r="E54" s="20"/>
      <c r="F54" s="21" t="n">
        <f aca="false">D54*E54</f>
        <v>0</v>
      </c>
    </row>
    <row r="55" customFormat="false" ht="15" hidden="false" customHeight="false" outlineLevel="0" collapsed="false">
      <c r="A55" s="11" t="s">
        <v>151</v>
      </c>
      <c r="B55" s="11" t="s">
        <v>145</v>
      </c>
      <c r="C55" s="10" t="s">
        <v>134</v>
      </c>
      <c r="D55" s="17" t="n">
        <f aca="false">SUMIFS('Расходный материал'!$I$4:$I$99,'Расходный материал'!$D$4:$D$99,A55,'Расходный материал'!$F$4:$F$99,C55)</f>
        <v>22</v>
      </c>
      <c r="E55" s="20"/>
      <c r="F55" s="21" t="n">
        <f aca="false">D55*E55</f>
        <v>0</v>
      </c>
    </row>
    <row r="56" customFormat="false" ht="15" hidden="false" customHeight="false" outlineLevel="0" collapsed="false">
      <c r="A56" s="11" t="s">
        <v>177</v>
      </c>
      <c r="B56" s="11" t="s">
        <v>145</v>
      </c>
      <c r="C56" s="10" t="s">
        <v>178</v>
      </c>
      <c r="D56" s="17" t="n">
        <f aca="false">SUMIFS('Расходный материал'!$I$4:$I$99,'Расходный материал'!$D$4:$D$99,A56,'Расходный материал'!$F$4:$F$99,C56)</f>
        <v>11</v>
      </c>
      <c r="E56" s="20"/>
      <c r="F56" s="21" t="n">
        <f aca="false">D56*E56</f>
        <v>0</v>
      </c>
    </row>
    <row r="57" customFormat="false" ht="15" hidden="false" customHeight="false" outlineLevel="0" collapsed="false">
      <c r="A57" s="11" t="s">
        <v>171</v>
      </c>
      <c r="B57" s="11" t="s">
        <v>145</v>
      </c>
      <c r="C57" s="10" t="s">
        <v>134</v>
      </c>
      <c r="D57" s="17" t="n">
        <f aca="false">SUMIFS('Расходный материал'!$I$4:$I$99,'Расходный материал'!$D$4:$D$99,A57,'Расходный материал'!$F$4:$F$99,C57)</f>
        <v>33</v>
      </c>
      <c r="E57" s="20"/>
      <c r="F57" s="21" t="n">
        <f aca="false">D57*E57</f>
        <v>0</v>
      </c>
    </row>
    <row r="58" customFormat="false" ht="15" hidden="false" customHeight="false" outlineLevel="0" collapsed="false">
      <c r="A58" s="11" t="s">
        <v>205</v>
      </c>
      <c r="B58" s="11" t="s">
        <v>145</v>
      </c>
      <c r="C58" s="10" t="s">
        <v>134</v>
      </c>
      <c r="D58" s="17" t="n">
        <f aca="false">SUMIFS('Расходный материал'!$I$4:$I$99,'Расходный материал'!$D$4:$D$99,A58,'Расходный материал'!$F$4:$F$99,C58)</f>
        <v>10</v>
      </c>
      <c r="E58" s="20"/>
      <c r="F58" s="21" t="n">
        <f aca="false">D58*E58</f>
        <v>0</v>
      </c>
    </row>
    <row r="59" customFormat="false" ht="15" hidden="false" customHeight="false" outlineLevel="0" collapsed="false">
      <c r="A59" s="11" t="s">
        <v>203</v>
      </c>
      <c r="B59" s="11" t="s">
        <v>145</v>
      </c>
      <c r="C59" s="10" t="s">
        <v>204</v>
      </c>
      <c r="D59" s="17" t="n">
        <f aca="false">SUMIFS('Расходный материал'!$I$4:$I$99,'Расходный материал'!$D$4:$D$99,A59,'Расходный материал'!$F$4:$F$99,C59)</f>
        <v>4</v>
      </c>
      <c r="E59" s="20"/>
      <c r="F59" s="21" t="n">
        <f aca="false">D59*E59</f>
        <v>0</v>
      </c>
    </row>
    <row r="60" customFormat="false" ht="15" hidden="false" customHeight="false" outlineLevel="0" collapsed="false">
      <c r="A60" s="11" t="s">
        <v>208</v>
      </c>
      <c r="B60" s="11" t="s">
        <v>145</v>
      </c>
      <c r="C60" s="10" t="s">
        <v>134</v>
      </c>
      <c r="D60" s="17" t="n">
        <f aca="false">SUMIFS('Расходный материал'!$I$4:$I$99,'Расходный материал'!$D$4:$D$99,A60,'Расходный материал'!$F$4:$F$99,C60)</f>
        <v>14</v>
      </c>
      <c r="E60" s="20"/>
      <c r="F60" s="21" t="n">
        <f aca="false">D60*E60</f>
        <v>0</v>
      </c>
    </row>
    <row r="61" customFormat="false" ht="15" hidden="false" customHeight="false" outlineLevel="0" collapsed="false">
      <c r="A61" s="11" t="s">
        <v>180</v>
      </c>
      <c r="B61" s="11" t="s">
        <v>145</v>
      </c>
      <c r="C61" s="10" t="s">
        <v>134</v>
      </c>
      <c r="D61" s="17" t="n">
        <f aca="false">SUMIFS('Расходный материал'!$I$4:$I$99,'Расходный материал'!$D$4:$D$99,A61,'Расходный материал'!$F$4:$F$99,C61)</f>
        <v>18</v>
      </c>
      <c r="E61" s="20"/>
      <c r="F61" s="21" t="n">
        <f aca="false">D61*E61</f>
        <v>0</v>
      </c>
    </row>
    <row r="62" customFormat="false" ht="15" hidden="false" customHeight="false" outlineLevel="0" collapsed="false">
      <c r="A62" s="11" t="s">
        <v>137</v>
      </c>
      <c r="B62" s="11" t="s">
        <v>136</v>
      </c>
      <c r="C62" s="10" t="s">
        <v>134</v>
      </c>
      <c r="D62" s="17" t="n">
        <f aca="false">SUMIFS('Расходный материал'!$I$4:$I$99,'Расходный материал'!$D$4:$D$99,A62,'Расходный материал'!$F$4:$F$99,C62)</f>
        <v>22</v>
      </c>
      <c r="E62" s="20"/>
      <c r="F62" s="21" t="n">
        <f aca="false">D62*E62</f>
        <v>0</v>
      </c>
    </row>
    <row r="63" customFormat="false" ht="15" hidden="false" customHeight="false" outlineLevel="0" collapsed="false">
      <c r="A63" s="11" t="s">
        <v>153</v>
      </c>
      <c r="B63" s="11" t="s">
        <v>136</v>
      </c>
      <c r="C63" s="10" t="s">
        <v>134</v>
      </c>
      <c r="D63" s="17" t="n">
        <f aca="false">SUMIFS('Расходный материал'!$I$4:$I$99,'Расходный материал'!$D$4:$D$99,A63,'Расходный материал'!$F$4:$F$99,C63)</f>
        <v>22</v>
      </c>
      <c r="E63" s="20"/>
      <c r="F63" s="21" t="n">
        <f aca="false">D63*E63</f>
        <v>0</v>
      </c>
    </row>
    <row r="64" customFormat="false" ht="23.85" hidden="false" customHeight="false" outlineLevel="0" collapsed="false">
      <c r="A64" s="11" t="s">
        <v>158</v>
      </c>
      <c r="B64" s="11" t="s">
        <v>136</v>
      </c>
      <c r="C64" s="10" t="s">
        <v>134</v>
      </c>
      <c r="D64" s="17" t="n">
        <f aca="false">SUMIFS('Расходный материал'!$I$4:$I$99,'Расходный материал'!$D$4:$D$99,A64,'Расходный материал'!$F$4:$F$99,C64)</f>
        <v>22</v>
      </c>
      <c r="E64" s="20"/>
      <c r="F64" s="21" t="n">
        <f aca="false">D64*E64</f>
        <v>0</v>
      </c>
    </row>
    <row r="65" customFormat="false" ht="15" hidden="false" customHeight="false" outlineLevel="0" collapsed="false">
      <c r="A65" s="11" t="s">
        <v>152</v>
      </c>
      <c r="B65" s="11" t="s">
        <v>136</v>
      </c>
      <c r="C65" s="10" t="s">
        <v>134</v>
      </c>
      <c r="D65" s="17" t="n">
        <f aca="false">SUMIFS('Расходный материал'!$I$4:$I$99,'Расходный материал'!$D$4:$D$99,A65,'Расходный материал'!$F$4:$F$99,C65)</f>
        <v>22</v>
      </c>
      <c r="E65" s="20"/>
      <c r="F65" s="21" t="n">
        <f aca="false">D65*E65</f>
        <v>0</v>
      </c>
    </row>
    <row r="66" customFormat="false" ht="15" hidden="false" customHeight="false" outlineLevel="0" collapsed="false">
      <c r="A66" s="11" t="s">
        <v>135</v>
      </c>
      <c r="B66" s="11" t="s">
        <v>136</v>
      </c>
      <c r="C66" s="10" t="s">
        <v>134</v>
      </c>
      <c r="D66" s="17" t="n">
        <f aca="false">SUMIFS('Расходный материал'!$I$4:$I$99,'Расходный материал'!$D$4:$D$99,A66,'Расходный материал'!$F$4:$F$99,C66)</f>
        <v>22</v>
      </c>
      <c r="E66" s="20"/>
      <c r="F66" s="21" t="n">
        <f aca="false">D66*E66</f>
        <v>0</v>
      </c>
    </row>
    <row r="67" customFormat="false" ht="15" hidden="false" customHeight="false" outlineLevel="0" collapsed="false">
      <c r="A67" s="11" t="s">
        <v>216</v>
      </c>
      <c r="B67" s="11" t="s">
        <v>136</v>
      </c>
      <c r="C67" s="10" t="s">
        <v>134</v>
      </c>
      <c r="D67" s="17" t="n">
        <f aca="false">SUMIFS('Расходный материал'!$I$4:$I$99,'Расходный материал'!$D$4:$D$99,A67,'Расходный материал'!$F$4:$F$99,C67)</f>
        <v>4</v>
      </c>
      <c r="E67" s="20"/>
      <c r="F67" s="21" t="n">
        <f aca="false">D67*E67</f>
        <v>0</v>
      </c>
    </row>
    <row r="68" customFormat="false" ht="15" hidden="false" customHeight="false" outlineLevel="0" collapsed="false">
      <c r="A68" s="11" t="s">
        <v>159</v>
      </c>
      <c r="B68" s="11" t="s">
        <v>136</v>
      </c>
      <c r="C68" s="10" t="s">
        <v>134</v>
      </c>
      <c r="D68" s="17" t="n">
        <f aca="false">SUMIFS('Расходный материал'!$I$4:$I$99,'Расходный материал'!$D$4:$D$99,A68,'Расходный материал'!$F$4:$F$99,C68)</f>
        <v>22</v>
      </c>
      <c r="E68" s="20"/>
      <c r="F68" s="21" t="n">
        <f aca="false">D68*E68</f>
        <v>0</v>
      </c>
    </row>
    <row r="69" customFormat="false" ht="15" hidden="false" customHeight="false" outlineLevel="0" collapsed="false">
      <c r="A69" s="11" t="s">
        <v>230</v>
      </c>
      <c r="B69" s="11" t="s">
        <v>222</v>
      </c>
      <c r="C69" s="10" t="s">
        <v>204</v>
      </c>
      <c r="D69" s="17" t="n">
        <f aca="false">SUMIFS('Расходный материал'!$I$4:$I$99,'Расходный материал'!$D$4:$D$99,A69,'Расходный материал'!$F$4:$F$99,C69)</f>
        <v>6</v>
      </c>
      <c r="E69" s="20"/>
      <c r="F69" s="21" t="n">
        <f aca="false">D69*E69</f>
        <v>0</v>
      </c>
    </row>
    <row r="70" customFormat="false" ht="15" hidden="false" customHeight="false" outlineLevel="0" collapsed="false">
      <c r="A70" s="11" t="s">
        <v>232</v>
      </c>
      <c r="B70" s="11" t="s">
        <v>222</v>
      </c>
      <c r="C70" s="10" t="s">
        <v>134</v>
      </c>
      <c r="D70" s="17" t="n">
        <f aca="false">SUMIFS('Расходный материал'!$I$4:$I$99,'Расходный материал'!$D$4:$D$99,A70,'Расходный материал'!$F$4:$F$99,C70)</f>
        <v>1</v>
      </c>
      <c r="E70" s="20"/>
      <c r="F70" s="21" t="n">
        <f aca="false">D70*E70</f>
        <v>0</v>
      </c>
    </row>
    <row r="71" customFormat="false" ht="15" hidden="false" customHeight="false" outlineLevel="0" collapsed="false">
      <c r="A71" s="11" t="s">
        <v>228</v>
      </c>
      <c r="B71" s="11" t="s">
        <v>222</v>
      </c>
      <c r="C71" s="10" t="s">
        <v>229</v>
      </c>
      <c r="D71" s="17" t="n">
        <f aca="false">SUMIFS('Расходный материал'!$I$4:$I$99,'Расходный материал'!$D$4:$D$99,A71,'Расходный материал'!$F$4:$F$99,C71)</f>
        <v>3</v>
      </c>
      <c r="E71" s="20"/>
      <c r="F71" s="21" t="n">
        <f aca="false">D71*E71</f>
        <v>0</v>
      </c>
    </row>
    <row r="72" customFormat="false" ht="15" hidden="false" customHeight="false" outlineLevel="0" collapsed="false">
      <c r="A72" s="11" t="s">
        <v>221</v>
      </c>
      <c r="B72" s="11" t="s">
        <v>222</v>
      </c>
      <c r="C72" s="10" t="s">
        <v>134</v>
      </c>
      <c r="D72" s="17" t="n">
        <f aca="false">SUMIFS('Расходный материал'!$I$4:$I$99,'Расходный материал'!$D$4:$D$99,A72,'Расходный материал'!$F$4:$F$99,C72)</f>
        <v>6</v>
      </c>
      <c r="E72" s="20"/>
      <c r="F72" s="21" t="n">
        <f aca="false">D72*E72</f>
        <v>0</v>
      </c>
    </row>
    <row r="73" customFormat="false" ht="15" hidden="false" customHeight="false" outlineLevel="0" collapsed="false">
      <c r="A73" s="11" t="s">
        <v>224</v>
      </c>
      <c r="B73" s="11" t="s">
        <v>222</v>
      </c>
      <c r="C73" s="10" t="s">
        <v>134</v>
      </c>
      <c r="D73" s="17" t="n">
        <f aca="false">SUMIFS('Расходный материал'!$I$4:$I$99,'Расходный материал'!$D$4:$D$99,A73,'Расходный материал'!$F$4:$F$99,C73)</f>
        <v>30</v>
      </c>
      <c r="E73" s="20"/>
      <c r="F73" s="21" t="n">
        <f aca="false">D73*E73</f>
        <v>0</v>
      </c>
    </row>
    <row r="74" customFormat="false" ht="15" hidden="false" customHeight="false" outlineLevel="0" collapsed="false">
      <c r="A74" s="11" t="s">
        <v>226</v>
      </c>
      <c r="B74" s="11" t="s">
        <v>222</v>
      </c>
      <c r="C74" s="10" t="s">
        <v>134</v>
      </c>
      <c r="D74" s="17" t="n">
        <f aca="false">SUMIFS('Расходный материал'!$I$4:$I$99,'Расходный материал'!$D$4:$D$99,A74,'Расходный материал'!$F$4:$F$99,C74)</f>
        <v>80</v>
      </c>
      <c r="E74" s="20"/>
      <c r="F74" s="21" t="n">
        <f aca="false">D74*E74</f>
        <v>0</v>
      </c>
    </row>
    <row r="75" customFormat="false" ht="15" hidden="false" customHeight="false" outlineLevel="0" collapsed="false">
      <c r="A75" s="11" t="s">
        <v>231</v>
      </c>
      <c r="B75" s="11" t="s">
        <v>222</v>
      </c>
      <c r="C75" s="10" t="s">
        <v>147</v>
      </c>
      <c r="D75" s="17" t="n">
        <f aca="false">SUMIFS('Расходный материал'!$I$4:$I$99,'Расходный материал'!$D$4:$D$99,A75,'Расходный материал'!$F$4:$F$99,C75)</f>
        <v>150</v>
      </c>
      <c r="E75" s="20"/>
      <c r="F75" s="21" t="n">
        <f aca="false">D75*E75</f>
        <v>0</v>
      </c>
    </row>
    <row r="76" customFormat="false" ht="15" hidden="false" customHeight="false" outlineLevel="0" collapsed="false">
      <c r="A76" s="11" t="s">
        <v>227</v>
      </c>
      <c r="B76" s="11" t="s">
        <v>222</v>
      </c>
      <c r="C76" s="10" t="s">
        <v>178</v>
      </c>
      <c r="D76" s="17" t="n">
        <f aca="false">SUMIFS('Расходный материал'!$I$4:$I$99,'Расходный материал'!$D$4:$D$99,A76,'Расходный материал'!$F$4:$F$99,C76)</f>
        <v>10</v>
      </c>
      <c r="E76" s="20"/>
      <c r="F76" s="21" t="n">
        <f aca="false">D76*E76</f>
        <v>0</v>
      </c>
    </row>
    <row r="77" customFormat="false" ht="15" hidden="false" customHeight="false" outlineLevel="0" collapsed="false">
      <c r="A77" s="11" t="s">
        <v>233</v>
      </c>
      <c r="B77" s="11" t="s">
        <v>222</v>
      </c>
      <c r="C77" s="10" t="s">
        <v>134</v>
      </c>
      <c r="D77" s="17" t="n">
        <f aca="false">SUMIFS('Расходный материал'!$I$4:$I$99,'Расходный материал'!$D$4:$D$99,A77,'Расходный материал'!$F$4:$F$99,C77)</f>
        <v>10</v>
      </c>
      <c r="E77" s="20"/>
      <c r="F77" s="21" t="n">
        <f aca="false">D77*E77</f>
        <v>0</v>
      </c>
    </row>
    <row r="78" customFormat="false" ht="15" hidden="false" customHeight="false" outlineLevel="0" collapsed="false">
      <c r="E78" s="6" t="s">
        <v>239</v>
      </c>
      <c r="F78" s="22" t="n">
        <f aca="false">SUM(F4:F77)</f>
        <v>0</v>
      </c>
    </row>
    <row r="80" customFormat="false" ht="15" hidden="false" customHeight="false" outlineLevel="0" collapsed="false">
      <c r="A80" s="4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2026-10-14T10:30:10Z</dcterms:created>
  <dc:creator>openpyxl</dc:creator>
  <dc:description/>
  <dc:language>en-US</dc:language>
  <cp:lastModifiedBy/>
  <dcterms:modified xsi:type="dcterms:W3CDTF">2026-10-14T10:30:11Z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